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x\Desktop\"/>
    </mc:Choice>
  </mc:AlternateContent>
  <bookViews>
    <workbookView xWindow="-2625" yWindow="-150" windowWidth="15480" windowHeight="9210"/>
  </bookViews>
  <sheets>
    <sheet name="5 Year Plan" sheetId="19" r:id="rId1"/>
    <sheet name="Sales Projections_UandC" sheetId="6" r:id="rId2"/>
    <sheet name="Sales Projections_Dist" sheetId="7" r:id="rId3"/>
    <sheet name="Sales Projections_SS" sheetId="12" r:id="rId4"/>
    <sheet name="Sales Projections_Total" sheetId="8" r:id="rId5"/>
    <sheet name="Income Statem_2006" sheetId="9" r:id="rId6"/>
    <sheet name="Income Statem_2007" sheetId="10" r:id="rId7"/>
    <sheet name="Income Statem_2008" sheetId="20" r:id="rId8"/>
    <sheet name="Cash Flow_2006" sheetId="13" r:id="rId9"/>
    <sheet name="Cash Flow_2007" sheetId="14" r:id="rId10"/>
    <sheet name="Cash Flow_2008" sheetId="21" r:id="rId11"/>
    <sheet name="Balance Sheet_2006" sheetId="16" r:id="rId12"/>
    <sheet name="Balance Sheet_2007" sheetId="17" r:id="rId13"/>
    <sheet name="Balance Sheet_2008" sheetId="23" r:id="rId14"/>
  </sheets>
  <definedNames>
    <definedName name="_xlnm.Print_Area" localSheetId="0">'5 Year Plan'!$A$1:$F$133</definedName>
  </definedNames>
  <calcPr calcId="171027" iterateDelta="1.0000000000000001E-5"/>
</workbook>
</file>

<file path=xl/calcChain.xml><?xml version="1.0" encoding="utf-8"?>
<calcChain xmlns="http://schemas.openxmlformats.org/spreadsheetml/2006/main">
  <c r="B14" i="20" l="1"/>
  <c r="B14" i="10"/>
  <c r="B14" i="9"/>
  <c r="A101" i="19"/>
  <c r="A60" i="19"/>
  <c r="D8" i="6"/>
  <c r="D9" i="6" s="1"/>
  <c r="D10" i="6" s="1"/>
  <c r="B29" i="19"/>
  <c r="G29" i="19" s="1"/>
  <c r="B19" i="19"/>
  <c r="I8" i="6"/>
  <c r="I9" i="6" s="1"/>
  <c r="B22" i="19"/>
  <c r="N8" i="6"/>
  <c r="B25" i="19"/>
  <c r="S8" i="6"/>
  <c r="B28" i="19"/>
  <c r="B35" i="19"/>
  <c r="B33" i="19" s="1"/>
  <c r="E18" i="7" s="1"/>
  <c r="B38" i="19"/>
  <c r="B41" i="19"/>
  <c r="B44" i="19"/>
  <c r="B42" i="19" s="1"/>
  <c r="T19" i="7" s="1"/>
  <c r="B48" i="19"/>
  <c r="E17" i="12" s="1"/>
  <c r="D8" i="12"/>
  <c r="N9" i="6"/>
  <c r="I10" i="6"/>
  <c r="I11" i="6" s="1"/>
  <c r="I12" i="6" s="1"/>
  <c r="I13" i="6" s="1"/>
  <c r="I14" i="6" s="1"/>
  <c r="N10" i="6"/>
  <c r="N11" i="6" s="1"/>
  <c r="B65" i="19"/>
  <c r="AF17" i="9" s="1"/>
  <c r="B100" i="19"/>
  <c r="B101" i="19"/>
  <c r="C101" i="19" s="1"/>
  <c r="B102" i="19"/>
  <c r="C102" i="19" s="1"/>
  <c r="B106" i="19"/>
  <c r="C106" i="19" s="1"/>
  <c r="D106" i="19" s="1"/>
  <c r="B107" i="19"/>
  <c r="B109" i="19"/>
  <c r="B110" i="19"/>
  <c r="B111" i="19"/>
  <c r="C111" i="19" s="1"/>
  <c r="D111" i="19" s="1"/>
  <c r="E111" i="19" s="1"/>
  <c r="B112" i="19"/>
  <c r="C112" i="19" s="1"/>
  <c r="B113" i="19"/>
  <c r="C113" i="19" s="1"/>
  <c r="AF29" i="10" s="1"/>
  <c r="AG29" i="10" s="1"/>
  <c r="C29" i="10" s="1"/>
  <c r="B114" i="19"/>
  <c r="B128" i="19"/>
  <c r="E116" i="19" s="1"/>
  <c r="B129" i="19"/>
  <c r="B130" i="19"/>
  <c r="B80" i="19"/>
  <c r="B119" i="19" s="1"/>
  <c r="AF41" i="9" s="1"/>
  <c r="AG41" i="9" s="1"/>
  <c r="C43" i="9" s="1"/>
  <c r="C100" i="19"/>
  <c r="D100" i="19" s="1"/>
  <c r="C29" i="19"/>
  <c r="D29" i="19" s="1"/>
  <c r="C45" i="19"/>
  <c r="D45" i="19" s="1"/>
  <c r="E45" i="19" s="1"/>
  <c r="C34" i="19"/>
  <c r="C65" i="19"/>
  <c r="AF17" i="10" s="1"/>
  <c r="B51" i="10" s="1"/>
  <c r="C110" i="19"/>
  <c r="AF26" i="10" s="1"/>
  <c r="AG26" i="10" s="1"/>
  <c r="C26" i="10" s="1"/>
  <c r="E26" i="10" s="1"/>
  <c r="G26" i="10" s="1"/>
  <c r="I26" i="10" s="1"/>
  <c r="K26" i="10" s="1"/>
  <c r="M26" i="10" s="1"/>
  <c r="O26" i="10" s="1"/>
  <c r="Q26" i="10" s="1"/>
  <c r="S26" i="10" s="1"/>
  <c r="U26" i="10" s="1"/>
  <c r="W26" i="10" s="1"/>
  <c r="Y26" i="10" s="1"/>
  <c r="C114" i="19"/>
  <c r="D114" i="19" s="1"/>
  <c r="C117" i="19"/>
  <c r="AF36" i="10" s="1"/>
  <c r="C80" i="19"/>
  <c r="C119" i="19" s="1"/>
  <c r="AF41" i="10" s="1"/>
  <c r="Y17" i="14" s="1"/>
  <c r="AA17" i="14" s="1"/>
  <c r="D65" i="19"/>
  <c r="D68" i="19"/>
  <c r="D117" i="19"/>
  <c r="D118" i="19"/>
  <c r="D80" i="19"/>
  <c r="D119" i="19" s="1"/>
  <c r="AF41" i="20" s="1"/>
  <c r="AG41" i="20" s="1"/>
  <c r="C43" i="20" s="1"/>
  <c r="E65" i="19"/>
  <c r="E68" i="19"/>
  <c r="E118" i="19"/>
  <c r="E119" i="19"/>
  <c r="B143" i="19"/>
  <c r="D8" i="7" s="1"/>
  <c r="AC8" i="7" s="1"/>
  <c r="B144" i="19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B145" i="19"/>
  <c r="N8" i="7" s="1"/>
  <c r="B146" i="19"/>
  <c r="S8" i="7" s="1"/>
  <c r="S9" i="7" s="1"/>
  <c r="S10" i="7" s="1"/>
  <c r="S11" i="7" s="1"/>
  <c r="S12" i="7" s="1"/>
  <c r="S13" i="7" s="1"/>
  <c r="S14" i="7" s="1"/>
  <c r="S15" i="7" s="1"/>
  <c r="S16" i="7" s="1"/>
  <c r="S17" i="7" s="1"/>
  <c r="AH34" i="7" s="1"/>
  <c r="C138" i="19"/>
  <c r="F23" i="6" s="1"/>
  <c r="F24" i="6" s="1"/>
  <c r="F25" i="6" s="1"/>
  <c r="C139" i="19"/>
  <c r="C140" i="19"/>
  <c r="P23" i="6" s="1"/>
  <c r="P24" i="6" s="1"/>
  <c r="P25" i="6" s="1"/>
  <c r="P26" i="6" s="1"/>
  <c r="C141" i="19"/>
  <c r="U23" i="6" s="1"/>
  <c r="C143" i="19"/>
  <c r="F23" i="7" s="1"/>
  <c r="F24" i="7" s="1"/>
  <c r="F25" i="7" s="1"/>
  <c r="F26" i="7" s="1"/>
  <c r="C144" i="19"/>
  <c r="C145" i="19"/>
  <c r="P23" i="7" s="1"/>
  <c r="P24" i="7" s="1"/>
  <c r="P25" i="7" s="1"/>
  <c r="P26" i="7" s="1"/>
  <c r="C146" i="19"/>
  <c r="U23" i="7" s="1"/>
  <c r="U24" i="7" s="1"/>
  <c r="U25" i="7" s="1"/>
  <c r="U26" i="7" s="1"/>
  <c r="D138" i="19"/>
  <c r="D139" i="19"/>
  <c r="D140" i="19"/>
  <c r="P38" i="6" s="1"/>
  <c r="D141" i="19"/>
  <c r="U38" i="6" s="1"/>
  <c r="D143" i="19"/>
  <c r="F38" i="7" s="1"/>
  <c r="AE20" i="7" s="1"/>
  <c r="D144" i="19"/>
  <c r="D145" i="19"/>
  <c r="P38" i="7" s="1"/>
  <c r="D146" i="19"/>
  <c r="U38" i="7" s="1"/>
  <c r="E138" i="19"/>
  <c r="E139" i="19"/>
  <c r="E140" i="19"/>
  <c r="E141" i="19"/>
  <c r="E143" i="19"/>
  <c r="E144" i="19"/>
  <c r="E145" i="19"/>
  <c r="E146" i="19"/>
  <c r="AF21" i="9"/>
  <c r="AG21" i="9" s="1"/>
  <c r="C21" i="9" s="1"/>
  <c r="E21" i="9" s="1"/>
  <c r="G21" i="9" s="1"/>
  <c r="I21" i="9" s="1"/>
  <c r="K21" i="9" s="1"/>
  <c r="M21" i="9" s="1"/>
  <c r="O21" i="9" s="1"/>
  <c r="Q21" i="9" s="1"/>
  <c r="S21" i="9" s="1"/>
  <c r="U21" i="9" s="1"/>
  <c r="AF26" i="9"/>
  <c r="AG26" i="9" s="1"/>
  <c r="C26" i="9" s="1"/>
  <c r="E26" i="9" s="1"/>
  <c r="G26" i="9" s="1"/>
  <c r="I26" i="9" s="1"/>
  <c r="K26" i="9" s="1"/>
  <c r="M26" i="9" s="1"/>
  <c r="O26" i="9" s="1"/>
  <c r="Q26" i="9" s="1"/>
  <c r="S26" i="9" s="1"/>
  <c r="U26" i="9" s="1"/>
  <c r="W26" i="9" s="1"/>
  <c r="Y26" i="9" s="1"/>
  <c r="AF27" i="9"/>
  <c r="AG27" i="9" s="1"/>
  <c r="C27" i="9" s="1"/>
  <c r="AF28" i="9"/>
  <c r="AG28" i="9" s="1"/>
  <c r="C28" i="9" s="1"/>
  <c r="AF29" i="9"/>
  <c r="AG29" i="9" s="1"/>
  <c r="C29" i="9" s="1"/>
  <c r="AF30" i="9"/>
  <c r="AG30" i="9" s="1"/>
  <c r="C30" i="9" s="1"/>
  <c r="E30" i="9" s="1"/>
  <c r="G30" i="9" s="1"/>
  <c r="I30" i="9" s="1"/>
  <c r="K30" i="9" s="1"/>
  <c r="M30" i="9" s="1"/>
  <c r="O30" i="9" s="1"/>
  <c r="Q30" i="9" s="1"/>
  <c r="S30" i="9" s="1"/>
  <c r="U30" i="9" s="1"/>
  <c r="W30" i="9" s="1"/>
  <c r="AH31" i="9"/>
  <c r="B52" i="9" s="1"/>
  <c r="AF44" i="9"/>
  <c r="C30" i="16"/>
  <c r="AG17" i="9"/>
  <c r="E12" i="12"/>
  <c r="S18" i="7"/>
  <c r="S19" i="7" s="1"/>
  <c r="W21" i="9"/>
  <c r="Y21" i="9" s="1"/>
  <c r="K23" i="6"/>
  <c r="K24" i="6" s="1"/>
  <c r="K23" i="7"/>
  <c r="K24" i="7" s="1"/>
  <c r="AG17" i="10"/>
  <c r="AF30" i="10"/>
  <c r="AG30" i="10" s="1"/>
  <c r="C30" i="10" s="1"/>
  <c r="E30" i="10" s="1"/>
  <c r="G30" i="10" s="1"/>
  <c r="I30" i="10" s="1"/>
  <c r="K30" i="10" s="1"/>
  <c r="M30" i="10" s="1"/>
  <c r="O30" i="10" s="1"/>
  <c r="Q30" i="10" s="1"/>
  <c r="S30" i="10" s="1"/>
  <c r="U30" i="10" s="1"/>
  <c r="W30" i="10" s="1"/>
  <c r="Y30" i="10" s="1"/>
  <c r="AH35" i="10"/>
  <c r="AH36" i="10"/>
  <c r="AH37" i="10"/>
  <c r="AF44" i="10"/>
  <c r="D46" i="10" s="1"/>
  <c r="D48" i="10" s="1"/>
  <c r="K38" i="6"/>
  <c r="K39" i="6" s="1"/>
  <c r="K40" i="6" s="1"/>
  <c r="K38" i="7"/>
  <c r="K39" i="7" s="1"/>
  <c r="K40" i="7" s="1"/>
  <c r="AF17" i="20"/>
  <c r="AG17" i="20"/>
  <c r="AH35" i="20"/>
  <c r="AH36" i="20"/>
  <c r="AH37" i="20"/>
  <c r="AF37" i="20"/>
  <c r="AF44" i="20"/>
  <c r="D46" i="20" s="1"/>
  <c r="D48" i="20" s="1"/>
  <c r="AE41" i="20"/>
  <c r="C27" i="23" s="1"/>
  <c r="E27" i="23" s="1"/>
  <c r="G27" i="23" s="1"/>
  <c r="I27" i="23" s="1"/>
  <c r="K27" i="23" s="1"/>
  <c r="M27" i="23" s="1"/>
  <c r="O27" i="23" s="1"/>
  <c r="Q27" i="23" s="1"/>
  <c r="S27" i="23" s="1"/>
  <c r="U27" i="23" s="1"/>
  <c r="W27" i="23" s="1"/>
  <c r="AE41" i="9"/>
  <c r="Y28" i="21" s="1"/>
  <c r="AE36" i="20"/>
  <c r="AE36" i="9"/>
  <c r="Y17" i="13"/>
  <c r="AA17" i="13" s="1"/>
  <c r="Y27" i="13"/>
  <c r="Y28" i="13"/>
  <c r="Y28" i="14"/>
  <c r="B10" i="23"/>
  <c r="B11" i="23"/>
  <c r="B12" i="23"/>
  <c r="B14" i="23"/>
  <c r="B15" i="23"/>
  <c r="B22" i="23"/>
  <c r="B23" i="23"/>
  <c r="B24" i="23"/>
  <c r="B26" i="23"/>
  <c r="B27" i="23"/>
  <c r="B29" i="23"/>
  <c r="B30" i="23"/>
  <c r="B31" i="23"/>
  <c r="D10" i="21"/>
  <c r="F10" i="21"/>
  <c r="H10" i="21"/>
  <c r="J10" i="21"/>
  <c r="L10" i="21"/>
  <c r="N10" i="21"/>
  <c r="P10" i="21"/>
  <c r="R10" i="21"/>
  <c r="T10" i="21"/>
  <c r="V10" i="21"/>
  <c r="X10" i="21"/>
  <c r="D10" i="14"/>
  <c r="F10" i="14"/>
  <c r="H10" i="14"/>
  <c r="J10" i="14"/>
  <c r="L10" i="14"/>
  <c r="N10" i="14"/>
  <c r="P10" i="14"/>
  <c r="R10" i="14"/>
  <c r="T10" i="14"/>
  <c r="V10" i="14"/>
  <c r="X10" i="14"/>
  <c r="D10" i="13"/>
  <c r="F10" i="13"/>
  <c r="H10" i="13"/>
  <c r="J10" i="13"/>
  <c r="L10" i="13"/>
  <c r="N10" i="13"/>
  <c r="P10" i="13"/>
  <c r="R10" i="13"/>
  <c r="T10" i="13"/>
  <c r="V10" i="13"/>
  <c r="X10" i="13"/>
  <c r="G134" i="19"/>
  <c r="A134" i="19"/>
  <c r="H128" i="19"/>
  <c r="H134" i="19"/>
  <c r="H129" i="19"/>
  <c r="H130" i="19"/>
  <c r="G9" i="19"/>
  <c r="G8" i="19"/>
  <c r="C147" i="19"/>
  <c r="E80" i="19"/>
  <c r="J81" i="19"/>
  <c r="I81" i="19"/>
  <c r="H81" i="19"/>
  <c r="G81" i="19"/>
  <c r="H75" i="19"/>
  <c r="I75" i="19"/>
  <c r="J75" i="19"/>
  <c r="J74" i="19"/>
  <c r="I74" i="19"/>
  <c r="H74" i="19"/>
  <c r="J73" i="19"/>
  <c r="I73" i="19"/>
  <c r="H73" i="19"/>
  <c r="J72" i="19"/>
  <c r="I72" i="19"/>
  <c r="H72" i="19"/>
  <c r="J71" i="19"/>
  <c r="I71" i="19"/>
  <c r="H71" i="19"/>
  <c r="J70" i="19"/>
  <c r="I70" i="19"/>
  <c r="H70" i="19"/>
  <c r="J67" i="19"/>
  <c r="I67" i="19"/>
  <c r="H67" i="19"/>
  <c r="J64" i="19"/>
  <c r="I64" i="19"/>
  <c r="H64" i="19"/>
  <c r="G64" i="19"/>
  <c r="H62" i="19"/>
  <c r="I62" i="19"/>
  <c r="J62" i="19"/>
  <c r="G62" i="19"/>
  <c r="H59" i="19"/>
  <c r="J61" i="19"/>
  <c r="I61" i="19"/>
  <c r="H61" i="19"/>
  <c r="J60" i="19"/>
  <c r="I60" i="19"/>
  <c r="H60" i="19"/>
  <c r="J59" i="19"/>
  <c r="I59" i="19"/>
  <c r="H51" i="19"/>
  <c r="G43" i="19"/>
  <c r="G40" i="19"/>
  <c r="G37" i="19"/>
  <c r="G34" i="19"/>
  <c r="H52" i="19"/>
  <c r="I52" i="19"/>
  <c r="J52" i="19"/>
  <c r="H53" i="19"/>
  <c r="I53" i="19"/>
  <c r="J53" i="19"/>
  <c r="H54" i="19"/>
  <c r="I54" i="19"/>
  <c r="J54" i="19"/>
  <c r="H55" i="19"/>
  <c r="I55" i="19"/>
  <c r="J55" i="19"/>
  <c r="J51" i="19"/>
  <c r="I51" i="19"/>
  <c r="J49" i="19"/>
  <c r="I49" i="19"/>
  <c r="H49" i="19"/>
  <c r="J46" i="19"/>
  <c r="I46" i="19"/>
  <c r="H46" i="19"/>
  <c r="I30" i="19"/>
  <c r="J30" i="19"/>
  <c r="H30" i="19"/>
  <c r="G45" i="19"/>
  <c r="G27" i="19"/>
  <c r="G24" i="19"/>
  <c r="G18" i="19"/>
  <c r="G21" i="19"/>
  <c r="X16" i="21"/>
  <c r="V16" i="21"/>
  <c r="T16" i="21"/>
  <c r="R16" i="21"/>
  <c r="P16" i="21"/>
  <c r="N16" i="21"/>
  <c r="L16" i="21"/>
  <c r="J16" i="21"/>
  <c r="H16" i="21"/>
  <c r="F16" i="21"/>
  <c r="D16" i="21"/>
  <c r="X13" i="21"/>
  <c r="V13" i="21"/>
  <c r="T13" i="21"/>
  <c r="R13" i="21"/>
  <c r="P13" i="21"/>
  <c r="N13" i="21"/>
  <c r="L13" i="21"/>
  <c r="J13" i="21"/>
  <c r="H13" i="21"/>
  <c r="F13" i="21"/>
  <c r="D13" i="21"/>
  <c r="B25" i="21"/>
  <c r="B27" i="21"/>
  <c r="B25" i="14"/>
  <c r="B27" i="14"/>
  <c r="W29" i="13"/>
  <c r="U29" i="13"/>
  <c r="S29" i="13"/>
  <c r="Q29" i="13"/>
  <c r="O29" i="13"/>
  <c r="M29" i="13"/>
  <c r="K29" i="13"/>
  <c r="I29" i="13"/>
  <c r="G29" i="13"/>
  <c r="E29" i="13"/>
  <c r="B28" i="13"/>
  <c r="D8" i="21"/>
  <c r="F8" i="21"/>
  <c r="H8" i="21"/>
  <c r="J8" i="21"/>
  <c r="L8" i="21"/>
  <c r="N8" i="21"/>
  <c r="P8" i="21"/>
  <c r="R8" i="21"/>
  <c r="T8" i="21"/>
  <c r="V8" i="21"/>
  <c r="X8" i="21"/>
  <c r="B13" i="21"/>
  <c r="B14" i="21"/>
  <c r="B15" i="21"/>
  <c r="B16" i="21"/>
  <c r="B17" i="21"/>
  <c r="B18" i="21"/>
  <c r="D20" i="21"/>
  <c r="F20" i="21"/>
  <c r="H20" i="21"/>
  <c r="J20" i="21"/>
  <c r="L20" i="21"/>
  <c r="N20" i="21"/>
  <c r="P20" i="21"/>
  <c r="R20" i="21"/>
  <c r="T20" i="21"/>
  <c r="V20" i="21"/>
  <c r="X20" i="21"/>
  <c r="Z20" i="21"/>
  <c r="E22" i="21"/>
  <c r="G22" i="21"/>
  <c r="I22" i="21"/>
  <c r="K22" i="21"/>
  <c r="M22" i="21"/>
  <c r="O22" i="21"/>
  <c r="Q22" i="21"/>
  <c r="S22" i="21"/>
  <c r="U22" i="21"/>
  <c r="W22" i="21"/>
  <c r="Y22" i="21"/>
  <c r="C25" i="21"/>
  <c r="AA25" i="21" s="1"/>
  <c r="B26" i="21"/>
  <c r="AA26" i="21"/>
  <c r="C27" i="21"/>
  <c r="AA27" i="21" s="1"/>
  <c r="B28" i="2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T29" i="21"/>
  <c r="U29" i="21"/>
  <c r="V29" i="21"/>
  <c r="W29" i="21"/>
  <c r="X29" i="21"/>
  <c r="Z29" i="21"/>
  <c r="AH8" i="6"/>
  <c r="AC31" i="6"/>
  <c r="AH31" i="20"/>
  <c r="B52" i="20" s="1"/>
  <c r="AD11" i="20"/>
  <c r="B12" i="20"/>
  <c r="AD12" i="20"/>
  <c r="B13" i="20"/>
  <c r="AD13" i="20"/>
  <c r="B15" i="20"/>
  <c r="B16" i="20"/>
  <c r="B18" i="20"/>
  <c r="B19" i="20"/>
  <c r="B20" i="20"/>
  <c r="B21" i="20"/>
  <c r="B22" i="20"/>
  <c r="B24" i="20"/>
  <c r="B25" i="20"/>
  <c r="B26" i="20"/>
  <c r="B27" i="20"/>
  <c r="B28" i="20"/>
  <c r="B29" i="20"/>
  <c r="B30" i="20"/>
  <c r="B31" i="20"/>
  <c r="B32" i="20"/>
  <c r="B34" i="20"/>
  <c r="B35" i="20"/>
  <c r="B36" i="20"/>
  <c r="B37" i="20"/>
  <c r="B38" i="20"/>
  <c r="AH41" i="20"/>
  <c r="B54" i="20" s="1"/>
  <c r="F46" i="20"/>
  <c r="F48" i="20" s="1"/>
  <c r="J46" i="20"/>
  <c r="J48" i="20" s="1"/>
  <c r="N46" i="20"/>
  <c r="N48" i="20" s="1"/>
  <c r="R46" i="20"/>
  <c r="R48" i="20" s="1"/>
  <c r="V46" i="20"/>
  <c r="V48" i="20" s="1"/>
  <c r="Z46" i="20"/>
  <c r="Z48" i="20" s="1"/>
  <c r="B55" i="20"/>
  <c r="AH41" i="10"/>
  <c r="B54" i="10" s="1"/>
  <c r="AE41" i="10"/>
  <c r="C27" i="17" s="1"/>
  <c r="AE36" i="10"/>
  <c r="AH31" i="10"/>
  <c r="B52" i="10" s="1"/>
  <c r="AH41" i="9"/>
  <c r="B54" i="9" s="1"/>
  <c r="AH36" i="9"/>
  <c r="AH37" i="9"/>
  <c r="AH35" i="9"/>
  <c r="M14" i="12"/>
  <c r="M15" i="12" s="1"/>
  <c r="K8" i="12"/>
  <c r="K9" i="12" s="1"/>
  <c r="AC20" i="7"/>
  <c r="AD20" i="7"/>
  <c r="AH20" i="7"/>
  <c r="AI20" i="7"/>
  <c r="AC43" i="7"/>
  <c r="AD43" i="7"/>
  <c r="AH43" i="7"/>
  <c r="AI43" i="7"/>
  <c r="AC21" i="7"/>
  <c r="AD21" i="7"/>
  <c r="AH21" i="7"/>
  <c r="AI21" i="7"/>
  <c r="AC44" i="7"/>
  <c r="AD44" i="7"/>
  <c r="AH44" i="7"/>
  <c r="AI44" i="7"/>
  <c r="AC22" i="7"/>
  <c r="AD22" i="7"/>
  <c r="AH22" i="7"/>
  <c r="AI22" i="7"/>
  <c r="AC45" i="7"/>
  <c r="AD45" i="7"/>
  <c r="AH45" i="7"/>
  <c r="AI45" i="7"/>
  <c r="AC23" i="7"/>
  <c r="AD23" i="7"/>
  <c r="AH23" i="7"/>
  <c r="AI23" i="7"/>
  <c r="AC46" i="7"/>
  <c r="AD46" i="7"/>
  <c r="AH46" i="7"/>
  <c r="AI46" i="7"/>
  <c r="AC14" i="7"/>
  <c r="AD14" i="7"/>
  <c r="AH14" i="7"/>
  <c r="AI14" i="7"/>
  <c r="AC37" i="7"/>
  <c r="AD37" i="7"/>
  <c r="AH37" i="7"/>
  <c r="AI37" i="7"/>
  <c r="AC15" i="7"/>
  <c r="AD15" i="7"/>
  <c r="AH15" i="7"/>
  <c r="AI15" i="7"/>
  <c r="AC38" i="7"/>
  <c r="AD38" i="7"/>
  <c r="AH38" i="7"/>
  <c r="AI38" i="7"/>
  <c r="AC16" i="7"/>
  <c r="AD16" i="7"/>
  <c r="AH16" i="7"/>
  <c r="AI16" i="7"/>
  <c r="AC39" i="7"/>
  <c r="AD39" i="7"/>
  <c r="AH39" i="7"/>
  <c r="AI39" i="7"/>
  <c r="AC17" i="7"/>
  <c r="AD17" i="7"/>
  <c r="AH17" i="7"/>
  <c r="AI17" i="7"/>
  <c r="AC40" i="7"/>
  <c r="AD40" i="7"/>
  <c r="AH40" i="7"/>
  <c r="AI40" i="7"/>
  <c r="AE8" i="7"/>
  <c r="AF8" i="7"/>
  <c r="AH8" i="7"/>
  <c r="AJ8" i="7"/>
  <c r="AK8" i="7"/>
  <c r="AE31" i="7"/>
  <c r="AF31" i="7"/>
  <c r="AJ31" i="7"/>
  <c r="AK31" i="7"/>
  <c r="AE9" i="7"/>
  <c r="AF9" i="7"/>
  <c r="AH9" i="7"/>
  <c r="AJ9" i="7"/>
  <c r="AK9" i="7"/>
  <c r="AE32" i="7"/>
  <c r="AF32" i="7"/>
  <c r="AJ32" i="7"/>
  <c r="AK32" i="7"/>
  <c r="AE10" i="7"/>
  <c r="AF10" i="7"/>
  <c r="AH10" i="7"/>
  <c r="AJ10" i="7"/>
  <c r="AK10" i="7"/>
  <c r="AE33" i="7"/>
  <c r="AF33" i="7"/>
  <c r="AJ33" i="7"/>
  <c r="AK33" i="7"/>
  <c r="AE11" i="7"/>
  <c r="AF11" i="7"/>
  <c r="AH11" i="7"/>
  <c r="AJ11" i="7"/>
  <c r="AK11" i="7"/>
  <c r="AE34" i="7"/>
  <c r="AF34" i="7"/>
  <c r="AJ34" i="7"/>
  <c r="AK34" i="7"/>
  <c r="E79" i="19"/>
  <c r="A118" i="19"/>
  <c r="A117" i="19"/>
  <c r="A116" i="19"/>
  <c r="A130" i="19"/>
  <c r="A129" i="19"/>
  <c r="A128" i="19"/>
  <c r="A79" i="19"/>
  <c r="A78" i="19"/>
  <c r="A77" i="19"/>
  <c r="A114" i="19"/>
  <c r="A113" i="19"/>
  <c r="A112" i="19"/>
  <c r="A111" i="19"/>
  <c r="A110" i="19"/>
  <c r="A109" i="19"/>
  <c r="A75" i="19"/>
  <c r="A74" i="19"/>
  <c r="A73" i="19"/>
  <c r="A72" i="19"/>
  <c r="A71" i="19"/>
  <c r="A70" i="19"/>
  <c r="A65" i="19"/>
  <c r="A64" i="19"/>
  <c r="A107" i="19"/>
  <c r="A106" i="19"/>
  <c r="A68" i="19"/>
  <c r="A67" i="19"/>
  <c r="A102" i="19"/>
  <c r="A100" i="19"/>
  <c r="A61" i="19"/>
  <c r="A59" i="19"/>
  <c r="A49" i="19"/>
  <c r="A46" i="19"/>
  <c r="A30" i="19"/>
  <c r="A29" i="19"/>
  <c r="A94" i="19"/>
  <c r="A93" i="19"/>
  <c r="A92" i="19"/>
  <c r="A91" i="19"/>
  <c r="A89" i="19"/>
  <c r="A88" i="19"/>
  <c r="A87" i="19"/>
  <c r="A86" i="19"/>
  <c r="A55" i="19"/>
  <c r="A146" i="19"/>
  <c r="A145" i="19"/>
  <c r="A144" i="19"/>
  <c r="A143" i="19"/>
  <c r="A54" i="19"/>
  <c r="A53" i="19"/>
  <c r="A52" i="19"/>
  <c r="A51" i="19"/>
  <c r="A141" i="19"/>
  <c r="A140" i="19"/>
  <c r="A139" i="19"/>
  <c r="A138" i="19"/>
  <c r="A48" i="19"/>
  <c r="A45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26" i="19"/>
  <c r="A23" i="19"/>
  <c r="A20" i="19"/>
  <c r="A17" i="19"/>
  <c r="A27" i="19"/>
  <c r="A25" i="19"/>
  <c r="A24" i="19"/>
  <c r="A22" i="19"/>
  <c r="A21" i="19"/>
  <c r="A19" i="19"/>
  <c r="A18" i="19"/>
  <c r="A16" i="19"/>
  <c r="N6" i="8"/>
  <c r="B55" i="10"/>
  <c r="C25" i="13"/>
  <c r="AA25" i="13" s="1"/>
  <c r="C27" i="13"/>
  <c r="AA27" i="13" s="1"/>
  <c r="C25" i="14"/>
  <c r="AA25" i="14" s="1"/>
  <c r="C27" i="14"/>
  <c r="C29" i="14"/>
  <c r="E27" i="17"/>
  <c r="G27" i="17" s="1"/>
  <c r="I27" i="17" s="1"/>
  <c r="K27" i="17" s="1"/>
  <c r="M27" i="17" s="1"/>
  <c r="O27" i="17" s="1"/>
  <c r="Q27" i="17" s="1"/>
  <c r="S27" i="17" s="1"/>
  <c r="U27" i="17" s="1"/>
  <c r="W27" i="17" s="1"/>
  <c r="B10" i="17"/>
  <c r="B11" i="17"/>
  <c r="B12" i="17"/>
  <c r="B14" i="17"/>
  <c r="B15" i="17"/>
  <c r="B22" i="17"/>
  <c r="B23" i="17"/>
  <c r="B24" i="17"/>
  <c r="B26" i="17"/>
  <c r="B27" i="17"/>
  <c r="B29" i="17"/>
  <c r="B30" i="17"/>
  <c r="B31" i="17"/>
  <c r="B30" i="16"/>
  <c r="B31" i="16"/>
  <c r="B23" i="16"/>
  <c r="B12" i="16"/>
  <c r="B26" i="16"/>
  <c r="J46" i="10"/>
  <c r="J48" i="10" s="1"/>
  <c r="R46" i="10"/>
  <c r="R48" i="10" s="1"/>
  <c r="Z46" i="10"/>
  <c r="Z48" i="10" s="1"/>
  <c r="D46" i="9"/>
  <c r="D48" i="9" s="1"/>
  <c r="H46" i="9"/>
  <c r="H48" i="9" s="1"/>
  <c r="L46" i="9"/>
  <c r="L48" i="9" s="1"/>
  <c r="P46" i="9"/>
  <c r="P48" i="9" s="1"/>
  <c r="T46" i="9"/>
  <c r="T48" i="9" s="1"/>
  <c r="X46" i="9"/>
  <c r="X48" i="9" s="1"/>
  <c r="B29" i="16"/>
  <c r="B24" i="16"/>
  <c r="B27" i="16"/>
  <c r="B22" i="16"/>
  <c r="B15" i="16"/>
  <c r="B14" i="16"/>
  <c r="B11" i="16"/>
  <c r="B10" i="16"/>
  <c r="X16" i="14"/>
  <c r="V16" i="14"/>
  <c r="T16" i="14"/>
  <c r="R16" i="14"/>
  <c r="P16" i="14"/>
  <c r="N16" i="14"/>
  <c r="L16" i="14"/>
  <c r="J16" i="14"/>
  <c r="H16" i="14"/>
  <c r="F16" i="14"/>
  <c r="D16" i="14"/>
  <c r="X13" i="14"/>
  <c r="V13" i="14"/>
  <c r="T13" i="14"/>
  <c r="R13" i="14"/>
  <c r="P13" i="14"/>
  <c r="N13" i="14"/>
  <c r="L13" i="14"/>
  <c r="J13" i="14"/>
  <c r="H13" i="14"/>
  <c r="F13" i="14"/>
  <c r="D13" i="14"/>
  <c r="AA26" i="14"/>
  <c r="AA27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Z29" i="14"/>
  <c r="B28" i="14"/>
  <c r="D8" i="14"/>
  <c r="F8" i="14"/>
  <c r="H8" i="14"/>
  <c r="J8" i="14"/>
  <c r="L8" i="14"/>
  <c r="N8" i="14"/>
  <c r="P8" i="14"/>
  <c r="R8" i="14"/>
  <c r="T8" i="14"/>
  <c r="V8" i="14"/>
  <c r="X8" i="14"/>
  <c r="B13" i="14"/>
  <c r="B14" i="14"/>
  <c r="B15" i="14"/>
  <c r="B16" i="14"/>
  <c r="B17" i="14"/>
  <c r="B18" i="14"/>
  <c r="D20" i="14"/>
  <c r="F20" i="14"/>
  <c r="H20" i="14"/>
  <c r="J20" i="14"/>
  <c r="L20" i="14"/>
  <c r="N20" i="14"/>
  <c r="P20" i="14"/>
  <c r="R20" i="14"/>
  <c r="T20" i="14"/>
  <c r="V20" i="14"/>
  <c r="X20" i="14"/>
  <c r="Z20" i="14"/>
  <c r="E22" i="14"/>
  <c r="G22" i="14"/>
  <c r="I22" i="14"/>
  <c r="K22" i="14"/>
  <c r="M22" i="14"/>
  <c r="O22" i="14"/>
  <c r="Q22" i="14"/>
  <c r="S22" i="14"/>
  <c r="U22" i="14"/>
  <c r="W22" i="14"/>
  <c r="Y22" i="14"/>
  <c r="AA22" i="14"/>
  <c r="B26" i="14"/>
  <c r="B17" i="13"/>
  <c r="B16" i="13"/>
  <c r="B15" i="13"/>
  <c r="B14" i="13"/>
  <c r="B13" i="13"/>
  <c r="E22" i="13"/>
  <c r="G22" i="13"/>
  <c r="I22" i="13"/>
  <c r="K22" i="13"/>
  <c r="M22" i="13"/>
  <c r="O22" i="13"/>
  <c r="Q22" i="13"/>
  <c r="S22" i="13"/>
  <c r="U22" i="13"/>
  <c r="W22" i="13"/>
  <c r="B26" i="13"/>
  <c r="D8" i="13"/>
  <c r="F8" i="13"/>
  <c r="H8" i="13"/>
  <c r="J8" i="13"/>
  <c r="L8" i="13"/>
  <c r="N8" i="13"/>
  <c r="P8" i="13"/>
  <c r="R8" i="13"/>
  <c r="T8" i="13"/>
  <c r="V8" i="13"/>
  <c r="X8" i="13"/>
  <c r="D16" i="13"/>
  <c r="F16" i="13"/>
  <c r="H16" i="13"/>
  <c r="J16" i="13"/>
  <c r="L16" i="13"/>
  <c r="N16" i="13"/>
  <c r="P16" i="13"/>
  <c r="R16" i="13"/>
  <c r="T16" i="13"/>
  <c r="V16" i="13"/>
  <c r="X16" i="13"/>
  <c r="N13" i="13"/>
  <c r="P13" i="13"/>
  <c r="R13" i="13"/>
  <c r="T13" i="13"/>
  <c r="V13" i="13"/>
  <c r="X13" i="13"/>
  <c r="D13" i="13"/>
  <c r="F13" i="13"/>
  <c r="H13" i="13"/>
  <c r="J13" i="13"/>
  <c r="L13" i="13"/>
  <c r="B18" i="9"/>
  <c r="AD13" i="10"/>
  <c r="AD12" i="10"/>
  <c r="AD11" i="10"/>
  <c r="B18" i="10"/>
  <c r="Y22" i="13"/>
  <c r="B18" i="13"/>
  <c r="B27" i="13"/>
  <c r="B25" i="13"/>
  <c r="D20" i="13"/>
  <c r="F20" i="13"/>
  <c r="H20" i="13"/>
  <c r="J20" i="13"/>
  <c r="L20" i="13"/>
  <c r="N20" i="13"/>
  <c r="P20" i="13"/>
  <c r="R20" i="13"/>
  <c r="T20" i="13"/>
  <c r="V20" i="13"/>
  <c r="X20" i="13"/>
  <c r="Z20" i="13"/>
  <c r="B29" i="10"/>
  <c r="B29" i="9"/>
  <c r="AE14" i="6"/>
  <c r="B15" i="10"/>
  <c r="B13" i="10"/>
  <c r="B15" i="9"/>
  <c r="B12" i="10"/>
  <c r="B16" i="10"/>
  <c r="B19" i="10"/>
  <c r="B20" i="10"/>
  <c r="B21" i="10"/>
  <c r="B22" i="10"/>
  <c r="B24" i="10"/>
  <c r="B25" i="10"/>
  <c r="B26" i="10"/>
  <c r="B27" i="10"/>
  <c r="B28" i="10"/>
  <c r="B30" i="10"/>
  <c r="B31" i="10"/>
  <c r="B32" i="10"/>
  <c r="B34" i="10"/>
  <c r="B35" i="10"/>
  <c r="B36" i="10"/>
  <c r="B37" i="10"/>
  <c r="B38" i="10"/>
  <c r="AA26" i="9"/>
  <c r="B38" i="9"/>
  <c r="B36" i="9"/>
  <c r="B37" i="9"/>
  <c r="B35" i="9"/>
  <c r="B34" i="9"/>
  <c r="B32" i="9"/>
  <c r="B31" i="9"/>
  <c r="B26" i="9"/>
  <c r="B27" i="9"/>
  <c r="B28" i="9"/>
  <c r="B30" i="9"/>
  <c r="B25" i="9"/>
  <c r="B24" i="9"/>
  <c r="B22" i="9"/>
  <c r="B20" i="9"/>
  <c r="B21" i="9"/>
  <c r="B19" i="9"/>
  <c r="B16" i="9"/>
  <c r="B12" i="9"/>
  <c r="B13" i="9"/>
  <c r="AH9" i="6" l="1"/>
  <c r="V46" i="10"/>
  <c r="V48" i="10" s="1"/>
  <c r="N46" i="10"/>
  <c r="N48" i="10" s="1"/>
  <c r="F46" i="10"/>
  <c r="F48" i="10" s="1"/>
  <c r="B51" i="20"/>
  <c r="E106" i="19"/>
  <c r="AF21" i="20"/>
  <c r="AG21" i="20" s="1"/>
  <c r="C21" i="20" s="1"/>
  <c r="E21" i="20" s="1"/>
  <c r="G21" i="20" s="1"/>
  <c r="I21" i="20" s="1"/>
  <c r="K21" i="20" s="1"/>
  <c r="M21" i="20" s="1"/>
  <c r="O21" i="20" s="1"/>
  <c r="Q21" i="20" s="1"/>
  <c r="S21" i="20" s="1"/>
  <c r="U21" i="20" s="1"/>
  <c r="W21" i="20" s="1"/>
  <c r="Y21" i="20" s="1"/>
  <c r="B53" i="10"/>
  <c r="AA26" i="10"/>
  <c r="AE37" i="6"/>
  <c r="AJ20" i="6"/>
  <c r="T18" i="7"/>
  <c r="AF12" i="9"/>
  <c r="AG12" i="9" s="1"/>
  <c r="B99" i="19"/>
  <c r="B103" i="19" s="1"/>
  <c r="AF31" i="9" s="1"/>
  <c r="AG31" i="9" s="1"/>
  <c r="G48" i="19"/>
  <c r="E15" i="12"/>
  <c r="B26" i="19"/>
  <c r="T10" i="6" s="1"/>
  <c r="B20" i="19"/>
  <c r="U39" i="7"/>
  <c r="U40" i="7" s="1"/>
  <c r="U41" i="7" s="1"/>
  <c r="AJ43" i="7"/>
  <c r="U39" i="6"/>
  <c r="U40" i="6" s="1"/>
  <c r="U41" i="6" s="1"/>
  <c r="U42" i="6" s="1"/>
  <c r="U43" i="6" s="1"/>
  <c r="U44" i="6" s="1"/>
  <c r="AJ43" i="6"/>
  <c r="D102" i="19"/>
  <c r="E102" i="19" s="1"/>
  <c r="AF13" i="10"/>
  <c r="AG13" i="10" s="1"/>
  <c r="AA21" i="9"/>
  <c r="AA30" i="10"/>
  <c r="AJ14" i="6"/>
  <c r="X46" i="10"/>
  <c r="X48" i="10" s="1"/>
  <c r="T46" i="10"/>
  <c r="T48" i="10" s="1"/>
  <c r="P46" i="10"/>
  <c r="P48" i="10" s="1"/>
  <c r="L46" i="10"/>
  <c r="L48" i="10" s="1"/>
  <c r="H46" i="10"/>
  <c r="H48" i="10" s="1"/>
  <c r="C27" i="16"/>
  <c r="E27" i="16" s="1"/>
  <c r="G27" i="16" s="1"/>
  <c r="I27" i="16" s="1"/>
  <c r="K27" i="16" s="1"/>
  <c r="M27" i="16" s="1"/>
  <c r="O27" i="16" s="1"/>
  <c r="Q27" i="16" s="1"/>
  <c r="S27" i="16" s="1"/>
  <c r="U27" i="16" s="1"/>
  <c r="W27" i="16" s="1"/>
  <c r="Y27" i="16" s="1"/>
  <c r="AH33" i="7"/>
  <c r="AH32" i="7"/>
  <c r="AH31" i="7"/>
  <c r="AJ14" i="7"/>
  <c r="AJ20" i="7"/>
  <c r="X46" i="20"/>
  <c r="X48" i="20" s="1"/>
  <c r="T46" i="20"/>
  <c r="T48" i="20" s="1"/>
  <c r="P46" i="20"/>
  <c r="P48" i="20" s="1"/>
  <c r="L46" i="20"/>
  <c r="L48" i="20" s="1"/>
  <c r="H46" i="20"/>
  <c r="H48" i="20" s="1"/>
  <c r="Y29" i="13"/>
  <c r="C15" i="13"/>
  <c r="AA15" i="13" s="1"/>
  <c r="Y17" i="21"/>
  <c r="AA17" i="21" s="1"/>
  <c r="AG37" i="20"/>
  <c r="C37" i="20" s="1"/>
  <c r="E37" i="20" s="1"/>
  <c r="G37" i="20" s="1"/>
  <c r="I37" i="20" s="1"/>
  <c r="K37" i="20" s="1"/>
  <c r="M37" i="20" s="1"/>
  <c r="O37" i="20" s="1"/>
  <c r="Q37" i="20" s="1"/>
  <c r="S37" i="20" s="1"/>
  <c r="U37" i="20" s="1"/>
  <c r="W37" i="20" s="1"/>
  <c r="Y37" i="20" s="1"/>
  <c r="AF27" i="20"/>
  <c r="AG27" i="20" s="1"/>
  <c r="C27" i="20" s="1"/>
  <c r="AG41" i="10"/>
  <c r="C43" i="10" s="1"/>
  <c r="C23" i="17" s="1"/>
  <c r="AG36" i="10"/>
  <c r="C36" i="10" s="1"/>
  <c r="AF27" i="10"/>
  <c r="AG27" i="10" s="1"/>
  <c r="C27" i="10" s="1"/>
  <c r="AF21" i="10"/>
  <c r="C15" i="14" s="1"/>
  <c r="AF13" i="9"/>
  <c r="I15" i="9" s="1"/>
  <c r="AF11" i="9"/>
  <c r="D78" i="19"/>
  <c r="B51" i="9"/>
  <c r="C12" i="16"/>
  <c r="E12" i="16" s="1"/>
  <c r="G12" i="16" s="1"/>
  <c r="I12" i="16" s="1"/>
  <c r="K12" i="16" s="1"/>
  <c r="M12" i="16" s="1"/>
  <c r="O12" i="16" s="1"/>
  <c r="Q12" i="16" s="1"/>
  <c r="S12" i="16" s="1"/>
  <c r="U12" i="16" s="1"/>
  <c r="W12" i="16" s="1"/>
  <c r="Y12" i="16" s="1"/>
  <c r="U24" i="6"/>
  <c r="U25" i="6" s="1"/>
  <c r="U26" i="6" s="1"/>
  <c r="U27" i="6" s="1"/>
  <c r="U28" i="6" s="1"/>
  <c r="U29" i="6" s="1"/>
  <c r="AJ37" i="6"/>
  <c r="AF13" i="20"/>
  <c r="AG13" i="20" s="1"/>
  <c r="C15" i="20" s="1"/>
  <c r="B118" i="19"/>
  <c r="C118" i="19"/>
  <c r="AE37" i="20"/>
  <c r="AE37" i="9"/>
  <c r="AE37" i="10"/>
  <c r="B116" i="19"/>
  <c r="AF35" i="9" s="1"/>
  <c r="C116" i="19"/>
  <c r="D116" i="19"/>
  <c r="D115" i="19" s="1"/>
  <c r="AE35" i="20"/>
  <c r="AE38" i="20" s="1"/>
  <c r="C14" i="23" s="1"/>
  <c r="E14" i="23" s="1"/>
  <c r="G14" i="23" s="1"/>
  <c r="I14" i="23" s="1"/>
  <c r="K14" i="23" s="1"/>
  <c r="M14" i="23" s="1"/>
  <c r="O14" i="23" s="1"/>
  <c r="Q14" i="23" s="1"/>
  <c r="S14" i="23" s="1"/>
  <c r="U14" i="23" s="1"/>
  <c r="W14" i="23" s="1"/>
  <c r="Y14" i="23" s="1"/>
  <c r="AE35" i="9"/>
  <c r="AE38" i="9" s="1"/>
  <c r="AE35" i="10"/>
  <c r="AE38" i="10" s="1"/>
  <c r="C14" i="17" s="1"/>
  <c r="E14" i="17" s="1"/>
  <c r="G14" i="17" s="1"/>
  <c r="I14" i="17" s="1"/>
  <c r="K14" i="17" s="1"/>
  <c r="M14" i="17" s="1"/>
  <c r="O14" i="17" s="1"/>
  <c r="Q14" i="17" s="1"/>
  <c r="S14" i="17" s="1"/>
  <c r="U14" i="17" s="1"/>
  <c r="W14" i="17" s="1"/>
  <c r="Y14" i="17" s="1"/>
  <c r="J9" i="6"/>
  <c r="J16" i="6"/>
  <c r="J17" i="6"/>
  <c r="AJ37" i="7"/>
  <c r="B53" i="20"/>
  <c r="AC8" i="6"/>
  <c r="AA28" i="13"/>
  <c r="Y29" i="14"/>
  <c r="AA28" i="14"/>
  <c r="AA29" i="14" s="1"/>
  <c r="AF36" i="20"/>
  <c r="AG36" i="20" s="1"/>
  <c r="C36" i="20" s="1"/>
  <c r="E36" i="20" s="1"/>
  <c r="G36" i="20" s="1"/>
  <c r="E27" i="20"/>
  <c r="G27" i="20" s="1"/>
  <c r="I27" i="20" s="1"/>
  <c r="K27" i="20" s="1"/>
  <c r="M27" i="20" s="1"/>
  <c r="O27" i="20" s="1"/>
  <c r="Q27" i="20" s="1"/>
  <c r="S27" i="20" s="1"/>
  <c r="U27" i="20" s="1"/>
  <c r="W27" i="20" s="1"/>
  <c r="Y27" i="20" s="1"/>
  <c r="AF11" i="10"/>
  <c r="U15" i="9"/>
  <c r="B55" i="9"/>
  <c r="F46" i="9"/>
  <c r="F48" i="9" s="1"/>
  <c r="J46" i="9"/>
  <c r="J48" i="9" s="1"/>
  <c r="N46" i="9"/>
  <c r="N48" i="9" s="1"/>
  <c r="R46" i="9"/>
  <c r="R48" i="9" s="1"/>
  <c r="V46" i="9"/>
  <c r="V48" i="9" s="1"/>
  <c r="Z46" i="9"/>
  <c r="Z48" i="9" s="1"/>
  <c r="P39" i="7"/>
  <c r="P40" i="7" s="1"/>
  <c r="P41" i="7" s="1"/>
  <c r="AE44" i="7" s="1"/>
  <c r="AE43" i="7"/>
  <c r="P39" i="6"/>
  <c r="P40" i="6" s="1"/>
  <c r="P41" i="6" s="1"/>
  <c r="P42" i="6" s="1"/>
  <c r="P43" i="6" s="1"/>
  <c r="P44" i="6" s="1"/>
  <c r="AE43" i="6"/>
  <c r="N9" i="7"/>
  <c r="N10" i="7" s="1"/>
  <c r="N11" i="7" s="1"/>
  <c r="AC31" i="7"/>
  <c r="E114" i="19"/>
  <c r="AF30" i="20"/>
  <c r="AG30" i="20" s="1"/>
  <c r="C30" i="20" s="1"/>
  <c r="C21" i="19"/>
  <c r="D21" i="19" s="1"/>
  <c r="E21" i="19" s="1"/>
  <c r="B117" i="19"/>
  <c r="E117" i="19"/>
  <c r="D112" i="19"/>
  <c r="AF28" i="10"/>
  <c r="AG28" i="10" s="1"/>
  <c r="C28" i="10" s="1"/>
  <c r="B108" i="19"/>
  <c r="D101" i="19"/>
  <c r="E101" i="19" s="1"/>
  <c r="AF12" i="10"/>
  <c r="AG12" i="10" s="1"/>
  <c r="C14" i="10" s="1"/>
  <c r="B36" i="19"/>
  <c r="B92" i="19" s="1"/>
  <c r="C37" i="19"/>
  <c r="D37" i="19" s="1"/>
  <c r="E37" i="19" s="1"/>
  <c r="E36" i="19" s="1"/>
  <c r="E92" i="19" s="1"/>
  <c r="S9" i="6"/>
  <c r="S10" i="6" s="1"/>
  <c r="S11" i="6" s="1"/>
  <c r="AH31" i="6"/>
  <c r="C33" i="19"/>
  <c r="C91" i="19" s="1"/>
  <c r="D36" i="19"/>
  <c r="M16" i="12"/>
  <c r="K10" i="12"/>
  <c r="K11" i="12" s="1"/>
  <c r="AE37" i="7"/>
  <c r="AE14" i="7"/>
  <c r="AA22" i="21"/>
  <c r="AG21" i="10"/>
  <c r="C21" i="10" s="1"/>
  <c r="F39" i="7"/>
  <c r="F40" i="7" s="1"/>
  <c r="G26" i="7"/>
  <c r="G34" i="7"/>
  <c r="E29" i="19"/>
  <c r="C109" i="19"/>
  <c r="C108" i="19" s="1"/>
  <c r="C69" i="19" s="1"/>
  <c r="AF25" i="9"/>
  <c r="E8" i="12"/>
  <c r="E9" i="12"/>
  <c r="E10" i="12"/>
  <c r="B95" i="19"/>
  <c r="C48" i="19"/>
  <c r="E11" i="12"/>
  <c r="E13" i="12"/>
  <c r="E18" i="12"/>
  <c r="B39" i="19"/>
  <c r="O12" i="7" s="1"/>
  <c r="C40" i="19"/>
  <c r="T8" i="6"/>
  <c r="T16" i="6"/>
  <c r="B17" i="19"/>
  <c r="C18" i="19"/>
  <c r="D11" i="6"/>
  <c r="D12" i="6" s="1"/>
  <c r="D23" i="12"/>
  <c r="D24" i="12" s="1"/>
  <c r="D147" i="19"/>
  <c r="D38" i="12" s="1"/>
  <c r="F38" i="6"/>
  <c r="G23" i="7"/>
  <c r="E19" i="12"/>
  <c r="E19" i="7"/>
  <c r="E16" i="12"/>
  <c r="E14" i="12"/>
  <c r="D113" i="19"/>
  <c r="D34" i="19"/>
  <c r="E100" i="19"/>
  <c r="AF11" i="20"/>
  <c r="G14" i="9"/>
  <c r="D110" i="19"/>
  <c r="B105" i="19"/>
  <c r="C107" i="19"/>
  <c r="AF20" i="9"/>
  <c r="B23" i="19"/>
  <c r="C24" i="19"/>
  <c r="J8" i="6"/>
  <c r="J10" i="6"/>
  <c r="B87" i="19"/>
  <c r="J11" i="6"/>
  <c r="J12" i="6"/>
  <c r="J13" i="6"/>
  <c r="J14" i="6"/>
  <c r="J15" i="6"/>
  <c r="C99" i="19"/>
  <c r="C58" i="19" s="1"/>
  <c r="C23" i="23"/>
  <c r="E43" i="20"/>
  <c r="G43" i="20" s="1"/>
  <c r="I43" i="20" s="1"/>
  <c r="K43" i="20" s="1"/>
  <c r="M43" i="20" s="1"/>
  <c r="O43" i="20" s="1"/>
  <c r="Q43" i="20" s="1"/>
  <c r="S43" i="20" s="1"/>
  <c r="U43" i="20" s="1"/>
  <c r="W43" i="20" s="1"/>
  <c r="Y43" i="20" s="1"/>
  <c r="B53" i="9"/>
  <c r="P42" i="7"/>
  <c r="P43" i="7" s="1"/>
  <c r="P44" i="7" s="1"/>
  <c r="E30" i="20"/>
  <c r="G30" i="20" s="1"/>
  <c r="I30" i="20" s="1"/>
  <c r="K30" i="20" s="1"/>
  <c r="M30" i="20" s="1"/>
  <c r="O30" i="20" s="1"/>
  <c r="Q30" i="20" s="1"/>
  <c r="S30" i="20" s="1"/>
  <c r="U30" i="20" s="1"/>
  <c r="W30" i="20" s="1"/>
  <c r="Y30" i="20" s="1"/>
  <c r="F27" i="7"/>
  <c r="AE15" i="7"/>
  <c r="AJ38" i="7"/>
  <c r="U27" i="7"/>
  <c r="U28" i="7" s="1"/>
  <c r="U29" i="7" s="1"/>
  <c r="AE38" i="6"/>
  <c r="P27" i="6"/>
  <c r="P28" i="6" s="1"/>
  <c r="P29" i="6" s="1"/>
  <c r="E29" i="10"/>
  <c r="G29" i="10" s="1"/>
  <c r="I29" i="10" s="1"/>
  <c r="K29" i="10" s="1"/>
  <c r="M29" i="10" s="1"/>
  <c r="O29" i="10" s="1"/>
  <c r="Q29" i="10" s="1"/>
  <c r="S29" i="10" s="1"/>
  <c r="U29" i="10" s="1"/>
  <c r="W29" i="10" s="1"/>
  <c r="Y29" i="10" s="1"/>
  <c r="C15" i="10"/>
  <c r="AJ38" i="6"/>
  <c r="K25" i="6"/>
  <c r="K26" i="6" s="1"/>
  <c r="E43" i="9"/>
  <c r="G43" i="9" s="1"/>
  <c r="I43" i="9" s="1"/>
  <c r="K43" i="9" s="1"/>
  <c r="M43" i="9" s="1"/>
  <c r="O43" i="9" s="1"/>
  <c r="Q43" i="9" s="1"/>
  <c r="S43" i="9" s="1"/>
  <c r="U43" i="9" s="1"/>
  <c r="W43" i="9" s="1"/>
  <c r="Y43" i="9" s="1"/>
  <c r="C23" i="16"/>
  <c r="AA43" i="9"/>
  <c r="E29" i="9"/>
  <c r="G29" i="9" s="1"/>
  <c r="I29" i="9" s="1"/>
  <c r="K29" i="9" s="1"/>
  <c r="M29" i="9" s="1"/>
  <c r="O29" i="9" s="1"/>
  <c r="Q29" i="9" s="1"/>
  <c r="S29" i="9" s="1"/>
  <c r="U29" i="9" s="1"/>
  <c r="W29" i="9" s="1"/>
  <c r="Y29" i="9" s="1"/>
  <c r="E28" i="9"/>
  <c r="G28" i="9" s="1"/>
  <c r="I28" i="9" s="1"/>
  <c r="K28" i="9" s="1"/>
  <c r="M28" i="9" s="1"/>
  <c r="O28" i="9" s="1"/>
  <c r="Q28" i="9" s="1"/>
  <c r="S28" i="9" s="1"/>
  <c r="U28" i="9" s="1"/>
  <c r="W28" i="9" s="1"/>
  <c r="Y28" i="9" s="1"/>
  <c r="AJ44" i="6"/>
  <c r="P27" i="7"/>
  <c r="P28" i="7" s="1"/>
  <c r="P29" i="7" s="1"/>
  <c r="AE38" i="7"/>
  <c r="F26" i="6"/>
  <c r="I15" i="6"/>
  <c r="I16" i="6" s="1"/>
  <c r="I17" i="6" s="1"/>
  <c r="AH10" i="6"/>
  <c r="Y30" i="9"/>
  <c r="AA30" i="9" s="1"/>
  <c r="E27" i="9"/>
  <c r="G27" i="9" s="1"/>
  <c r="I27" i="9" s="1"/>
  <c r="K27" i="9" s="1"/>
  <c r="M27" i="9" s="1"/>
  <c r="O27" i="9" s="1"/>
  <c r="Q27" i="9" s="1"/>
  <c r="S27" i="9" s="1"/>
  <c r="U27" i="9" s="1"/>
  <c r="W27" i="9" s="1"/>
  <c r="Y27" i="9" s="1"/>
  <c r="N12" i="6"/>
  <c r="N13" i="6" s="1"/>
  <c r="N14" i="6" s="1"/>
  <c r="AC32" i="6"/>
  <c r="AC9" i="6"/>
  <c r="K25" i="7"/>
  <c r="U14" i="9"/>
  <c r="M15" i="9"/>
  <c r="D9" i="12"/>
  <c r="AA28" i="21"/>
  <c r="AA29" i="21" s="1"/>
  <c r="Y29" i="21"/>
  <c r="I36" i="20"/>
  <c r="K41" i="7"/>
  <c r="K41" i="6"/>
  <c r="C29" i="21"/>
  <c r="C26" i="13"/>
  <c r="AA26" i="13" s="1"/>
  <c r="T10" i="7"/>
  <c r="B94" i="19"/>
  <c r="T11" i="7"/>
  <c r="T8" i="7"/>
  <c r="T9" i="7"/>
  <c r="T12" i="7"/>
  <c r="T13" i="7"/>
  <c r="T14" i="7"/>
  <c r="T15" i="7"/>
  <c r="T16" i="7"/>
  <c r="T17" i="7"/>
  <c r="J8" i="7"/>
  <c r="J14" i="7"/>
  <c r="D9" i="7"/>
  <c r="E10" i="7"/>
  <c r="E12" i="7"/>
  <c r="E13" i="7"/>
  <c r="E14" i="7"/>
  <c r="E15" i="7"/>
  <c r="E16" i="7"/>
  <c r="E17" i="7"/>
  <c r="E8" i="7"/>
  <c r="E9" i="7"/>
  <c r="B91" i="19"/>
  <c r="E11" i="7"/>
  <c r="O14" i="7" l="1"/>
  <c r="J16" i="7"/>
  <c r="J12" i="7"/>
  <c r="AI9" i="7" s="1"/>
  <c r="AA29" i="13"/>
  <c r="I14" i="9"/>
  <c r="Q14" i="9"/>
  <c r="Y14" i="9"/>
  <c r="C15" i="21"/>
  <c r="C20" i="19"/>
  <c r="C87" i="19" s="1"/>
  <c r="M14" i="9"/>
  <c r="T9" i="6"/>
  <c r="AI31" i="6" s="1"/>
  <c r="G27" i="7"/>
  <c r="T12" i="6"/>
  <c r="G30" i="7"/>
  <c r="AE44" i="6"/>
  <c r="O8" i="7"/>
  <c r="K15" i="9"/>
  <c r="O14" i="9"/>
  <c r="S14" i="9"/>
  <c r="W14" i="9"/>
  <c r="C36" i="19"/>
  <c r="C92" i="19" s="1"/>
  <c r="K14" i="9"/>
  <c r="E14" i="9"/>
  <c r="AA14" i="9" s="1"/>
  <c r="T18" i="6"/>
  <c r="T14" i="6"/>
  <c r="B89" i="19"/>
  <c r="AG13" i="9"/>
  <c r="E43" i="10"/>
  <c r="G43" i="10" s="1"/>
  <c r="I43" i="10" s="1"/>
  <c r="K43" i="10" s="1"/>
  <c r="M43" i="10" s="1"/>
  <c r="O43" i="10" s="1"/>
  <c r="Q43" i="10" s="1"/>
  <c r="S43" i="10" s="1"/>
  <c r="U43" i="10" s="1"/>
  <c r="W43" i="10" s="1"/>
  <c r="Y43" i="10" s="1"/>
  <c r="C115" i="19"/>
  <c r="D76" i="19" s="1"/>
  <c r="AA27" i="20"/>
  <c r="T19" i="6"/>
  <c r="T17" i="6"/>
  <c r="T15" i="6"/>
  <c r="T13" i="6"/>
  <c r="T11" i="6"/>
  <c r="AI32" i="6" s="1"/>
  <c r="J18" i="6"/>
  <c r="J19" i="6"/>
  <c r="E23" i="17"/>
  <c r="G23" i="17" s="1"/>
  <c r="AG11" i="9"/>
  <c r="AF14" i="9"/>
  <c r="E36" i="10"/>
  <c r="G36" i="10" s="1"/>
  <c r="I36" i="10" s="1"/>
  <c r="K36" i="10" s="1"/>
  <c r="M36" i="10" s="1"/>
  <c r="O36" i="10" s="1"/>
  <c r="Q36" i="10" s="1"/>
  <c r="S36" i="10" s="1"/>
  <c r="U36" i="10" s="1"/>
  <c r="W36" i="10" s="1"/>
  <c r="Y36" i="10" s="1"/>
  <c r="B93" i="19"/>
  <c r="B90" i="19" s="1"/>
  <c r="O16" i="7"/>
  <c r="AI10" i="6"/>
  <c r="AI8" i="6"/>
  <c r="AA43" i="10"/>
  <c r="AA21" i="20"/>
  <c r="Y27" i="17"/>
  <c r="O15" i="9"/>
  <c r="Q15" i="9"/>
  <c r="W15" i="9"/>
  <c r="Y15" i="9"/>
  <c r="S15" i="9"/>
  <c r="E27" i="10"/>
  <c r="G27" i="10" s="1"/>
  <c r="I27" i="10" s="1"/>
  <c r="K27" i="10" s="1"/>
  <c r="M27" i="10" s="1"/>
  <c r="O27" i="10" s="1"/>
  <c r="Q27" i="10" s="1"/>
  <c r="S27" i="10" s="1"/>
  <c r="U27" i="10" s="1"/>
  <c r="W27" i="10" s="1"/>
  <c r="Y27" i="10" s="1"/>
  <c r="U42" i="7"/>
  <c r="U43" i="7" s="1"/>
  <c r="U44" i="7" s="1"/>
  <c r="AJ44" i="7"/>
  <c r="S12" i="6"/>
  <c r="S13" i="6" s="1"/>
  <c r="S14" i="6" s="1"/>
  <c r="AH32" i="6"/>
  <c r="J18" i="7"/>
  <c r="J19" i="7"/>
  <c r="E28" i="10"/>
  <c r="G28" i="10" s="1"/>
  <c r="I28" i="10" s="1"/>
  <c r="K28" i="10" s="1"/>
  <c r="M28" i="10" s="1"/>
  <c r="O28" i="10" s="1"/>
  <c r="Q28" i="10" s="1"/>
  <c r="S28" i="10" s="1"/>
  <c r="U28" i="10" s="1"/>
  <c r="W28" i="10" s="1"/>
  <c r="Y28" i="10" s="1"/>
  <c r="N12" i="7"/>
  <c r="N13" i="7" s="1"/>
  <c r="N14" i="7" s="1"/>
  <c r="AC32" i="7"/>
  <c r="P45" i="6"/>
  <c r="P46" i="6" s="1"/>
  <c r="P47" i="6" s="1"/>
  <c r="AE45" i="6"/>
  <c r="D77" i="19"/>
  <c r="AF35" i="10"/>
  <c r="AF37" i="9"/>
  <c r="AG37" i="9" s="1"/>
  <c r="C37" i="9" s="1"/>
  <c r="C79" i="19"/>
  <c r="J17" i="7"/>
  <c r="J15" i="7"/>
  <c r="J13" i="7"/>
  <c r="J9" i="7"/>
  <c r="J11" i="7"/>
  <c r="J10" i="7"/>
  <c r="C103" i="19"/>
  <c r="AF31" i="10" s="1"/>
  <c r="AG31" i="10" s="1"/>
  <c r="AA37" i="20"/>
  <c r="AA29" i="9"/>
  <c r="D99" i="19"/>
  <c r="D103" i="19" s="1"/>
  <c r="AF31" i="20" s="1"/>
  <c r="AG31" i="20" s="1"/>
  <c r="G24" i="7"/>
  <c r="G31" i="7"/>
  <c r="AF12" i="20"/>
  <c r="AG12" i="20" s="1"/>
  <c r="C14" i="20" s="1"/>
  <c r="B115" i="19"/>
  <c r="C76" i="19" s="1"/>
  <c r="D20" i="19"/>
  <c r="L38" i="6" s="1"/>
  <c r="G32" i="7"/>
  <c r="G28" i="7"/>
  <c r="AF15" i="7" s="1"/>
  <c r="E14" i="10"/>
  <c r="G14" i="10" s="1"/>
  <c r="I14" i="10" s="1"/>
  <c r="K14" i="10" s="1"/>
  <c r="M14" i="10" s="1"/>
  <c r="O14" i="10" s="1"/>
  <c r="Q14" i="10" s="1"/>
  <c r="S14" i="10" s="1"/>
  <c r="U14" i="10" s="1"/>
  <c r="W14" i="10" s="1"/>
  <c r="Y14" i="10" s="1"/>
  <c r="AF28" i="20"/>
  <c r="AG28" i="20" s="1"/>
  <c r="C28" i="20" s="1"/>
  <c r="E28" i="20" s="1"/>
  <c r="G28" i="20" s="1"/>
  <c r="I28" i="20" s="1"/>
  <c r="K28" i="20" s="1"/>
  <c r="M28" i="20" s="1"/>
  <c r="O28" i="20" s="1"/>
  <c r="Q28" i="20" s="1"/>
  <c r="S28" i="20" s="1"/>
  <c r="U28" i="20" s="1"/>
  <c r="W28" i="20" s="1"/>
  <c r="Y28" i="20" s="1"/>
  <c r="E112" i="19"/>
  <c r="AF36" i="9"/>
  <c r="AG36" i="9" s="1"/>
  <c r="C36" i="9" s="1"/>
  <c r="E36" i="9" s="1"/>
  <c r="G36" i="9" s="1"/>
  <c r="I36" i="9" s="1"/>
  <c r="K36" i="9" s="1"/>
  <c r="M36" i="9" s="1"/>
  <c r="O36" i="9" s="1"/>
  <c r="Q36" i="9" s="1"/>
  <c r="S36" i="9" s="1"/>
  <c r="U36" i="9" s="1"/>
  <c r="W36" i="9" s="1"/>
  <c r="Y36" i="9" s="1"/>
  <c r="C78" i="19"/>
  <c r="AG11" i="10"/>
  <c r="AF14" i="10"/>
  <c r="AF35" i="20"/>
  <c r="E77" i="19"/>
  <c r="C77" i="19"/>
  <c r="D79" i="19"/>
  <c r="AF37" i="10"/>
  <c r="AG37" i="10" s="1"/>
  <c r="C37" i="10" s="1"/>
  <c r="E15" i="20"/>
  <c r="G15" i="20" s="1"/>
  <c r="I15" i="20" s="1"/>
  <c r="K15" i="20" s="1"/>
  <c r="M15" i="20" s="1"/>
  <c r="O15" i="20" s="1"/>
  <c r="Q15" i="20" s="1"/>
  <c r="S15" i="20" s="1"/>
  <c r="U15" i="20" s="1"/>
  <c r="W15" i="20" s="1"/>
  <c r="Y15" i="20" s="1"/>
  <c r="E78" i="19"/>
  <c r="E115" i="19"/>
  <c r="D92" i="19"/>
  <c r="L38" i="7"/>
  <c r="L48" i="7"/>
  <c r="L46" i="7"/>
  <c r="L44" i="7"/>
  <c r="L42" i="7"/>
  <c r="L40" i="7"/>
  <c r="L49" i="7"/>
  <c r="L47" i="7"/>
  <c r="L45" i="7"/>
  <c r="L43" i="7"/>
  <c r="L41" i="7"/>
  <c r="L39" i="7"/>
  <c r="G29" i="7"/>
  <c r="G25" i="7"/>
  <c r="G33" i="7"/>
  <c r="F41" i="7"/>
  <c r="O8" i="6"/>
  <c r="O10" i="6"/>
  <c r="O9" i="6"/>
  <c r="B88" i="19"/>
  <c r="O12" i="6"/>
  <c r="O14" i="6"/>
  <c r="O15" i="6"/>
  <c r="O19" i="6"/>
  <c r="O13" i="6"/>
  <c r="O17" i="6"/>
  <c r="O11" i="6"/>
  <c r="AD32" i="6" s="1"/>
  <c r="O16" i="6"/>
  <c r="O18" i="6"/>
  <c r="AG20" i="9"/>
  <c r="AF22" i="9"/>
  <c r="E99" i="19"/>
  <c r="E113" i="19"/>
  <c r="AF29" i="20"/>
  <c r="AG29" i="20" s="1"/>
  <c r="C29" i="20" s="1"/>
  <c r="F39" i="6"/>
  <c r="F40" i="6" s="1"/>
  <c r="F41" i="6" s="1"/>
  <c r="AE20" i="6"/>
  <c r="E147" i="19"/>
  <c r="M20" i="12"/>
  <c r="C17" i="19"/>
  <c r="D18" i="19"/>
  <c r="AI33" i="6"/>
  <c r="O18" i="7"/>
  <c r="O19" i="7"/>
  <c r="D48" i="19"/>
  <c r="E26" i="12"/>
  <c r="E28" i="12"/>
  <c r="E30" i="12"/>
  <c r="E32" i="12"/>
  <c r="E34" i="12"/>
  <c r="E23" i="12"/>
  <c r="E24" i="12"/>
  <c r="G24" i="12" s="1"/>
  <c r="F24" i="8" s="1"/>
  <c r="E27" i="12"/>
  <c r="E31" i="12"/>
  <c r="E25" i="12"/>
  <c r="E29" i="12"/>
  <c r="N16" i="12" s="1"/>
  <c r="P16" i="12" s="1"/>
  <c r="E33" i="12"/>
  <c r="L8" i="12"/>
  <c r="D109" i="19"/>
  <c r="AF25" i="10"/>
  <c r="AG25" i="10" s="1"/>
  <c r="C25" i="10" s="1"/>
  <c r="E25" i="10" s="1"/>
  <c r="G25" i="10" s="1"/>
  <c r="D87" i="19"/>
  <c r="L48" i="6"/>
  <c r="L46" i="6"/>
  <c r="L44" i="6"/>
  <c r="L42" i="6"/>
  <c r="L40" i="6"/>
  <c r="L49" i="6"/>
  <c r="E21" i="10"/>
  <c r="G21" i="10" s="1"/>
  <c r="I21" i="10" s="1"/>
  <c r="K21" i="10" s="1"/>
  <c r="M21" i="10" s="1"/>
  <c r="O21" i="10" s="1"/>
  <c r="Q21" i="10" s="1"/>
  <c r="S21" i="10" s="1"/>
  <c r="U21" i="10" s="1"/>
  <c r="W21" i="10" s="1"/>
  <c r="Y21" i="10" s="1"/>
  <c r="C95" i="19"/>
  <c r="O11" i="7"/>
  <c r="O9" i="7"/>
  <c r="O17" i="7"/>
  <c r="O15" i="7"/>
  <c r="AD33" i="7" s="1"/>
  <c r="O13" i="7"/>
  <c r="O10" i="7"/>
  <c r="E23" i="23"/>
  <c r="G23" i="23" s="1"/>
  <c r="I23" i="23" s="1"/>
  <c r="K23" i="23" s="1"/>
  <c r="L23" i="7"/>
  <c r="L29" i="7"/>
  <c r="L30" i="7"/>
  <c r="AI9" i="6"/>
  <c r="AI11" i="6" s="1"/>
  <c r="C23" i="19"/>
  <c r="D24" i="19"/>
  <c r="C27" i="19"/>
  <c r="C26" i="19" s="1"/>
  <c r="G8" i="12"/>
  <c r="F8" i="8" s="1"/>
  <c r="AF20" i="10"/>
  <c r="C105" i="19"/>
  <c r="C66" i="19" s="1"/>
  <c r="L23" i="6"/>
  <c r="L27" i="6"/>
  <c r="L31" i="6"/>
  <c r="L26" i="6"/>
  <c r="L34" i="6"/>
  <c r="L28" i="6"/>
  <c r="E110" i="19"/>
  <c r="AF26" i="20"/>
  <c r="AG26" i="20" s="1"/>
  <c r="C26" i="20" s="1"/>
  <c r="D107" i="19"/>
  <c r="AG11" i="20"/>
  <c r="AF14" i="20"/>
  <c r="D33" i="19"/>
  <c r="E34" i="19"/>
  <c r="L10" i="12"/>
  <c r="P10" i="12" s="1"/>
  <c r="E8" i="6"/>
  <c r="E10" i="6"/>
  <c r="E11" i="6"/>
  <c r="E13" i="6"/>
  <c r="E19" i="6"/>
  <c r="B86" i="19"/>
  <c r="E12" i="6"/>
  <c r="E15" i="6"/>
  <c r="E17" i="6"/>
  <c r="E9" i="6"/>
  <c r="E14" i="6"/>
  <c r="E16" i="6"/>
  <c r="E18" i="6"/>
  <c r="C43" i="19"/>
  <c r="C42" i="19" s="1"/>
  <c r="D40" i="19"/>
  <c r="C39" i="19"/>
  <c r="L9" i="12"/>
  <c r="P9" i="12" s="1"/>
  <c r="AG25" i="9"/>
  <c r="AF32" i="9"/>
  <c r="AG35" i="9"/>
  <c r="E20" i="19"/>
  <c r="E87" i="19" s="1"/>
  <c r="C12" i="17"/>
  <c r="E12" i="17" s="1"/>
  <c r="G12" i="17" s="1"/>
  <c r="I12" i="17" s="1"/>
  <c r="K12" i="17" s="1"/>
  <c r="M12" i="17" s="1"/>
  <c r="O12" i="17" s="1"/>
  <c r="Q12" i="17" s="1"/>
  <c r="S12" i="17" s="1"/>
  <c r="U12" i="17" s="1"/>
  <c r="W12" i="17" s="1"/>
  <c r="Y12" i="17" s="1"/>
  <c r="AA15" i="14"/>
  <c r="M17" i="12"/>
  <c r="AI8" i="7"/>
  <c r="AA27" i="9"/>
  <c r="E23" i="16"/>
  <c r="G23" i="16" s="1"/>
  <c r="I23" i="16" s="1"/>
  <c r="K23" i="16" s="1"/>
  <c r="AA29" i="10"/>
  <c r="G9" i="12"/>
  <c r="D10" i="12"/>
  <c r="K26" i="7"/>
  <c r="C22" i="13"/>
  <c r="AA22" i="13" s="1"/>
  <c r="C14" i="16"/>
  <c r="E14" i="16" s="1"/>
  <c r="G14" i="16" s="1"/>
  <c r="I14" i="16" s="1"/>
  <c r="K14" i="16" s="1"/>
  <c r="M14" i="16" s="1"/>
  <c r="O14" i="16" s="1"/>
  <c r="Q14" i="16" s="1"/>
  <c r="S14" i="16" s="1"/>
  <c r="U14" i="16" s="1"/>
  <c r="W14" i="16" s="1"/>
  <c r="Y14" i="16" s="1"/>
  <c r="K27" i="6"/>
  <c r="K28" i="6" s="1"/>
  <c r="K29" i="6" s="1"/>
  <c r="AJ15" i="6"/>
  <c r="P30" i="6"/>
  <c r="P31" i="6" s="1"/>
  <c r="P32" i="6" s="1"/>
  <c r="AE39" i="6"/>
  <c r="U30" i="7"/>
  <c r="U31" i="7" s="1"/>
  <c r="U32" i="7" s="1"/>
  <c r="AJ39" i="7"/>
  <c r="F28" i="7"/>
  <c r="E14" i="20"/>
  <c r="G14" i="20" s="1"/>
  <c r="I14" i="20" s="1"/>
  <c r="K14" i="20" s="1"/>
  <c r="M14" i="20" s="1"/>
  <c r="O14" i="20" s="1"/>
  <c r="Q14" i="20" s="1"/>
  <c r="S14" i="20" s="1"/>
  <c r="U14" i="20" s="1"/>
  <c r="W14" i="20" s="1"/>
  <c r="Y14" i="20" s="1"/>
  <c r="P45" i="7"/>
  <c r="P46" i="7" s="1"/>
  <c r="P47" i="7" s="1"/>
  <c r="AE45" i="7"/>
  <c r="AD8" i="7"/>
  <c r="C12" i="23"/>
  <c r="E12" i="23" s="1"/>
  <c r="G12" i="23" s="1"/>
  <c r="I12" i="23" s="1"/>
  <c r="K12" i="23" s="1"/>
  <c r="M12" i="23" s="1"/>
  <c r="O12" i="23" s="1"/>
  <c r="Q12" i="23" s="1"/>
  <c r="S12" i="23" s="1"/>
  <c r="U12" i="23" s="1"/>
  <c r="W12" i="23" s="1"/>
  <c r="Y12" i="23" s="1"/>
  <c r="AA15" i="21"/>
  <c r="D13" i="6"/>
  <c r="AC33" i="6"/>
  <c r="N15" i="6"/>
  <c r="N16" i="6" s="1"/>
  <c r="N17" i="6" s="1"/>
  <c r="I18" i="6"/>
  <c r="AH11" i="6"/>
  <c r="AE15" i="6"/>
  <c r="F27" i="6"/>
  <c r="AE39" i="7"/>
  <c r="P30" i="7"/>
  <c r="P31" i="7" s="1"/>
  <c r="P32" i="7" s="1"/>
  <c r="U45" i="6"/>
  <c r="U46" i="6" s="1"/>
  <c r="U47" i="6" s="1"/>
  <c r="AJ45" i="6"/>
  <c r="AJ39" i="6"/>
  <c r="U30" i="6"/>
  <c r="U31" i="6" s="1"/>
  <c r="U32" i="6" s="1"/>
  <c r="E15" i="10"/>
  <c r="G15" i="10" s="1"/>
  <c r="I15" i="10" s="1"/>
  <c r="K15" i="10" s="1"/>
  <c r="M15" i="10" s="1"/>
  <c r="O15" i="10" s="1"/>
  <c r="Q15" i="10" s="1"/>
  <c r="S15" i="10" s="1"/>
  <c r="U15" i="10" s="1"/>
  <c r="W15" i="10" s="1"/>
  <c r="Y15" i="10" s="1"/>
  <c r="AA28" i="9"/>
  <c r="AA28" i="20"/>
  <c r="AA30" i="20"/>
  <c r="AA43" i="20"/>
  <c r="D10" i="7"/>
  <c r="D25" i="12"/>
  <c r="I23" i="17"/>
  <c r="AD9" i="7"/>
  <c r="AD31" i="7"/>
  <c r="AI33" i="7"/>
  <c r="AI31" i="7"/>
  <c r="Y27" i="23"/>
  <c r="AF32" i="10"/>
  <c r="D39" i="12"/>
  <c r="K42" i="6"/>
  <c r="K43" i="6" s="1"/>
  <c r="K44" i="6" s="1"/>
  <c r="AJ21" i="6"/>
  <c r="K42" i="7"/>
  <c r="K43" i="7" s="1"/>
  <c r="K44" i="7" s="1"/>
  <c r="AJ21" i="7"/>
  <c r="K36" i="20"/>
  <c r="M36" i="20" s="1"/>
  <c r="O36" i="20" s="1"/>
  <c r="Q36" i="20" s="1"/>
  <c r="S36" i="20" s="1"/>
  <c r="U36" i="20" s="1"/>
  <c r="W36" i="20" s="1"/>
  <c r="Y36" i="20" s="1"/>
  <c r="AD10" i="7"/>
  <c r="AD11" i="7" s="1"/>
  <c r="X8" i="7"/>
  <c r="AI10" i="7"/>
  <c r="AI32" i="7"/>
  <c r="C29" i="13"/>
  <c r="L32" i="6" l="1"/>
  <c r="L25" i="6"/>
  <c r="L30" i="6"/>
  <c r="L33" i="6"/>
  <c r="L29" i="6"/>
  <c r="AK16" i="6" s="1"/>
  <c r="L24" i="6"/>
  <c r="L28" i="7"/>
  <c r="L33" i="7"/>
  <c r="L25" i="7"/>
  <c r="X9" i="7"/>
  <c r="E9" i="8" s="1"/>
  <c r="L32" i="7"/>
  <c r="L34" i="7"/>
  <c r="L26" i="7"/>
  <c r="L31" i="7"/>
  <c r="L27" i="7"/>
  <c r="L24" i="7"/>
  <c r="AD32" i="7"/>
  <c r="AA15" i="9"/>
  <c r="X12" i="6"/>
  <c r="D12" i="8" s="1"/>
  <c r="X9" i="6"/>
  <c r="D9" i="8" s="1"/>
  <c r="N15" i="12"/>
  <c r="P15" i="12" s="1"/>
  <c r="AI34" i="6"/>
  <c r="U45" i="7"/>
  <c r="U46" i="7" s="1"/>
  <c r="U47" i="7" s="1"/>
  <c r="AJ45" i="7"/>
  <c r="C13" i="9"/>
  <c r="AG14" i="9"/>
  <c r="AA36" i="9"/>
  <c r="AD10" i="6"/>
  <c r="D58" i="19"/>
  <c r="AF16" i="7"/>
  <c r="AA14" i="10"/>
  <c r="AF14" i="7"/>
  <c r="AF17" i="7" s="1"/>
  <c r="AA27" i="10"/>
  <c r="AA36" i="10"/>
  <c r="E37" i="9"/>
  <c r="G37" i="9" s="1"/>
  <c r="I37" i="9" s="1"/>
  <c r="K37" i="9" s="1"/>
  <c r="M37" i="9" s="1"/>
  <c r="O37" i="9" s="1"/>
  <c r="Q37" i="9" s="1"/>
  <c r="S37" i="9" s="1"/>
  <c r="U37" i="9" s="1"/>
  <c r="W37" i="9" s="1"/>
  <c r="Y37" i="9" s="1"/>
  <c r="P48" i="6"/>
  <c r="P49" i="6" s="1"/>
  <c r="AE46" i="6"/>
  <c r="N15" i="7"/>
  <c r="N16" i="7" s="1"/>
  <c r="N17" i="7" s="1"/>
  <c r="AC33" i="7"/>
  <c r="S15" i="6"/>
  <c r="S16" i="6" s="1"/>
  <c r="S17" i="6" s="1"/>
  <c r="AH33" i="6"/>
  <c r="AF38" i="9"/>
  <c r="AA21" i="10"/>
  <c r="L39" i="6"/>
  <c r="AK20" i="6" s="1"/>
  <c r="L41" i="6"/>
  <c r="L43" i="6"/>
  <c r="L45" i="6"/>
  <c r="AK22" i="6" s="1"/>
  <c r="L47" i="6"/>
  <c r="AK21" i="7"/>
  <c r="AA15" i="20"/>
  <c r="E37" i="10"/>
  <c r="G37" i="10" s="1"/>
  <c r="I37" i="10" s="1"/>
  <c r="K37" i="10" s="1"/>
  <c r="M37" i="10" s="1"/>
  <c r="O37" i="10" s="1"/>
  <c r="Q37" i="10" s="1"/>
  <c r="S37" i="10" s="1"/>
  <c r="U37" i="10" s="1"/>
  <c r="W37" i="10" s="1"/>
  <c r="Y37" i="10" s="1"/>
  <c r="AF38" i="20"/>
  <c r="AG35" i="20"/>
  <c r="C13" i="10"/>
  <c r="AG14" i="10"/>
  <c r="AF38" i="10"/>
  <c r="AG35" i="10"/>
  <c r="AA28" i="10"/>
  <c r="E76" i="19"/>
  <c r="AK20" i="7"/>
  <c r="AK22" i="7"/>
  <c r="C35" i="9"/>
  <c r="AG38" i="9"/>
  <c r="C15" i="16" s="1"/>
  <c r="C25" i="9"/>
  <c r="E25" i="9" s="1"/>
  <c r="G25" i="9" s="1"/>
  <c r="I25" i="9" s="1"/>
  <c r="AG32" i="9"/>
  <c r="C93" i="19"/>
  <c r="Q26" i="7"/>
  <c r="Q28" i="7"/>
  <c r="Q30" i="7"/>
  <c r="Q32" i="7"/>
  <c r="Q34" i="7"/>
  <c r="Q25" i="7"/>
  <c r="Q29" i="7"/>
  <c r="Q33" i="7"/>
  <c r="Q23" i="7"/>
  <c r="Q24" i="7"/>
  <c r="Q27" i="7"/>
  <c r="Q31" i="7"/>
  <c r="C94" i="19"/>
  <c r="V23" i="7"/>
  <c r="V24" i="7"/>
  <c r="V25" i="7"/>
  <c r="V27" i="7"/>
  <c r="V29" i="7"/>
  <c r="V31" i="7"/>
  <c r="V33" i="7"/>
  <c r="V28" i="7"/>
  <c r="V32" i="7"/>
  <c r="V26" i="7"/>
  <c r="AK38" i="7" s="1"/>
  <c r="V30" i="7"/>
  <c r="V34" i="7"/>
  <c r="AD9" i="6"/>
  <c r="AM32" i="6" s="1"/>
  <c r="X11" i="6"/>
  <c r="D11" i="8" s="1"/>
  <c r="AD8" i="6"/>
  <c r="X8" i="6"/>
  <c r="D8" i="8" s="1"/>
  <c r="E33" i="19"/>
  <c r="E91" i="19" s="1"/>
  <c r="E26" i="20"/>
  <c r="G26" i="20" s="1"/>
  <c r="I26" i="20" s="1"/>
  <c r="K26" i="20" s="1"/>
  <c r="M26" i="20" s="1"/>
  <c r="O26" i="20" s="1"/>
  <c r="Q26" i="20" s="1"/>
  <c r="S26" i="20" s="1"/>
  <c r="U26" i="20" s="1"/>
  <c r="W26" i="20" s="1"/>
  <c r="Y26" i="20" s="1"/>
  <c r="AG20" i="10"/>
  <c r="AF22" i="10"/>
  <c r="C89" i="19"/>
  <c r="V23" i="6"/>
  <c r="V24" i="6"/>
  <c r="V27" i="6"/>
  <c r="V29" i="6"/>
  <c r="V31" i="6"/>
  <c r="V33" i="6"/>
  <c r="V25" i="6"/>
  <c r="V28" i="6"/>
  <c r="V32" i="6"/>
  <c r="V26" i="6"/>
  <c r="V30" i="6"/>
  <c r="V34" i="6"/>
  <c r="C88" i="19"/>
  <c r="Q25" i="6"/>
  <c r="Q26" i="6"/>
  <c r="Q28" i="6"/>
  <c r="Q30" i="6"/>
  <c r="Q32" i="6"/>
  <c r="Q34" i="6"/>
  <c r="Q29" i="6"/>
  <c r="Q33" i="6"/>
  <c r="Q23" i="6"/>
  <c r="Q24" i="6"/>
  <c r="Q27" i="6"/>
  <c r="Q31" i="6"/>
  <c r="L11" i="12"/>
  <c r="P11" i="12" s="1"/>
  <c r="P8" i="12"/>
  <c r="E18" i="19"/>
  <c r="D17" i="19"/>
  <c r="M21" i="12"/>
  <c r="E29" i="20"/>
  <c r="G29" i="20" s="1"/>
  <c r="I29" i="20" s="1"/>
  <c r="K29" i="20" s="1"/>
  <c r="M29" i="20" s="1"/>
  <c r="O29" i="20" s="1"/>
  <c r="Q29" i="20" s="1"/>
  <c r="S29" i="20" s="1"/>
  <c r="U29" i="20" s="1"/>
  <c r="W29" i="20" s="1"/>
  <c r="Y29" i="20" s="1"/>
  <c r="C20" i="9"/>
  <c r="AG22" i="9"/>
  <c r="AD33" i="6"/>
  <c r="AE21" i="7"/>
  <c r="F42" i="7"/>
  <c r="F43" i="7" s="1"/>
  <c r="AD34" i="7"/>
  <c r="D39" i="19"/>
  <c r="E40" i="19"/>
  <c r="D43" i="19"/>
  <c r="D42" i="19" s="1"/>
  <c r="B85" i="19"/>
  <c r="B96" i="19" s="1"/>
  <c r="X10" i="6"/>
  <c r="D10" i="8" s="1"/>
  <c r="D91" i="19"/>
  <c r="G38" i="7"/>
  <c r="G49" i="7"/>
  <c r="G48" i="7"/>
  <c r="G47" i="7"/>
  <c r="G46" i="7"/>
  <c r="G45" i="7"/>
  <c r="G44" i="7"/>
  <c r="G43" i="7"/>
  <c r="G42" i="7"/>
  <c r="G41" i="7"/>
  <c r="G40" i="7"/>
  <c r="G39" i="7"/>
  <c r="C13" i="20"/>
  <c r="AG14" i="20"/>
  <c r="E107" i="19"/>
  <c r="AF20" i="20"/>
  <c r="D105" i="19"/>
  <c r="D66" i="19" s="1"/>
  <c r="AK15" i="6"/>
  <c r="AK14" i="6"/>
  <c r="D23" i="19"/>
  <c r="E24" i="19"/>
  <c r="D27" i="19"/>
  <c r="D26" i="19" s="1"/>
  <c r="AK16" i="7"/>
  <c r="AK14" i="7"/>
  <c r="E109" i="19"/>
  <c r="AF25" i="20"/>
  <c r="D108" i="19"/>
  <c r="D69" i="19" s="1"/>
  <c r="N14" i="12"/>
  <c r="G23" i="12"/>
  <c r="F23" i="8" s="1"/>
  <c r="E48" i="19"/>
  <c r="E49" i="12"/>
  <c r="E48" i="12"/>
  <c r="E47" i="12"/>
  <c r="E46" i="12"/>
  <c r="E45" i="12"/>
  <c r="E44" i="12"/>
  <c r="E43" i="12"/>
  <c r="E42" i="12"/>
  <c r="E41" i="12"/>
  <c r="E40" i="12"/>
  <c r="E39" i="12"/>
  <c r="G39" i="12" s="1"/>
  <c r="F39" i="8" s="1"/>
  <c r="E38" i="12"/>
  <c r="D95" i="19"/>
  <c r="C86" i="19"/>
  <c r="G25" i="6"/>
  <c r="G26" i="6"/>
  <c r="G28" i="6"/>
  <c r="G30" i="6"/>
  <c r="G32" i="6"/>
  <c r="G34" i="6"/>
  <c r="G23" i="6"/>
  <c r="G24" i="6"/>
  <c r="G27" i="6"/>
  <c r="G31" i="6"/>
  <c r="G29" i="6"/>
  <c r="G33" i="6"/>
  <c r="AE21" i="6"/>
  <c r="F42" i="6"/>
  <c r="F43" i="6" s="1"/>
  <c r="F44" i="6" s="1"/>
  <c r="E58" i="19"/>
  <c r="E103" i="19"/>
  <c r="AD31" i="6"/>
  <c r="AI11" i="7"/>
  <c r="AM31" i="7"/>
  <c r="AA14" i="20"/>
  <c r="U48" i="6"/>
  <c r="U49" i="6" s="1"/>
  <c r="AJ46" i="6"/>
  <c r="AC34" i="6"/>
  <c r="N18" i="6"/>
  <c r="N19" i="6" s="1"/>
  <c r="X13" i="6"/>
  <c r="D14" i="6"/>
  <c r="P48" i="7"/>
  <c r="P49" i="7" s="1"/>
  <c r="AE46" i="7"/>
  <c r="AJ40" i="7"/>
  <c r="U33" i="7"/>
  <c r="U34" i="7" s="1"/>
  <c r="P33" i="6"/>
  <c r="P34" i="6" s="1"/>
  <c r="AE40" i="6"/>
  <c r="AJ16" i="6"/>
  <c r="K30" i="6"/>
  <c r="K31" i="6" s="1"/>
  <c r="K32" i="6" s="1"/>
  <c r="F9" i="8"/>
  <c r="H9" i="8" s="1"/>
  <c r="E8" i="9" s="1"/>
  <c r="E10" i="13" s="1"/>
  <c r="U33" i="6"/>
  <c r="U34" i="6" s="1"/>
  <c r="AJ40" i="6"/>
  <c r="P33" i="7"/>
  <c r="P34" i="7" s="1"/>
  <c r="AE40" i="7"/>
  <c r="F28" i="6"/>
  <c r="I19" i="6"/>
  <c r="F29" i="7"/>
  <c r="AJ15" i="7"/>
  <c r="K27" i="7"/>
  <c r="D11" i="12"/>
  <c r="G10" i="12"/>
  <c r="F10" i="8" s="1"/>
  <c r="AA15" i="10"/>
  <c r="F44" i="7"/>
  <c r="I25" i="10"/>
  <c r="C31" i="10"/>
  <c r="AG32" i="10"/>
  <c r="M23" i="16"/>
  <c r="L8" i="8"/>
  <c r="AA36" i="20"/>
  <c r="AI34" i="7"/>
  <c r="E8" i="8"/>
  <c r="M23" i="23"/>
  <c r="K45" i="7"/>
  <c r="K46" i="7" s="1"/>
  <c r="K47" i="7" s="1"/>
  <c r="AJ22" i="7"/>
  <c r="K45" i="6"/>
  <c r="K46" i="6" s="1"/>
  <c r="K47" i="6" s="1"/>
  <c r="AJ22" i="6"/>
  <c r="D40" i="12"/>
  <c r="C31" i="20"/>
  <c r="K23" i="17"/>
  <c r="G25" i="12"/>
  <c r="D26" i="12"/>
  <c r="X10" i="7"/>
  <c r="E10" i="8" s="1"/>
  <c r="H10" i="8" s="1"/>
  <c r="G8" i="9" s="1"/>
  <c r="D11" i="7"/>
  <c r="X24" i="6" l="1"/>
  <c r="D24" i="8" s="1"/>
  <c r="C85" i="19"/>
  <c r="C90" i="19"/>
  <c r="C104" i="19" s="1"/>
  <c r="C120" i="19" s="1"/>
  <c r="AA37" i="9"/>
  <c r="AD34" i="6"/>
  <c r="X27" i="6"/>
  <c r="D27" i="8" s="1"/>
  <c r="AK38" i="6"/>
  <c r="AK39" i="6"/>
  <c r="AA26" i="20"/>
  <c r="AK21" i="6"/>
  <c r="AK15" i="7"/>
  <c r="AM38" i="7" s="1"/>
  <c r="X25" i="6"/>
  <c r="D25" i="8" s="1"/>
  <c r="N21" i="12"/>
  <c r="P21" i="12" s="1"/>
  <c r="E13" i="9"/>
  <c r="C16" i="9"/>
  <c r="U48" i="7"/>
  <c r="U49" i="7" s="1"/>
  <c r="AJ46" i="7"/>
  <c r="AG38" i="10"/>
  <c r="C35" i="10"/>
  <c r="C35" i="20"/>
  <c r="AG38" i="20"/>
  <c r="AA37" i="10"/>
  <c r="P12" i="12"/>
  <c r="AF38" i="6"/>
  <c r="X24" i="7"/>
  <c r="E24" i="8" s="1"/>
  <c r="H24" i="8" s="1"/>
  <c r="E8" i="10" s="1"/>
  <c r="E13" i="10"/>
  <c r="C16" i="10"/>
  <c r="C13" i="14" s="1"/>
  <c r="AH34" i="6"/>
  <c r="S18" i="6"/>
  <c r="S19" i="6" s="1"/>
  <c r="N18" i="7"/>
  <c r="N19" i="7" s="1"/>
  <c r="AC34" i="7"/>
  <c r="AF37" i="7"/>
  <c r="AF39" i="7"/>
  <c r="AK23" i="7"/>
  <c r="AF15" i="6"/>
  <c r="X26" i="6"/>
  <c r="D26" i="8" s="1"/>
  <c r="C96" i="19"/>
  <c r="V38" i="6"/>
  <c r="V48" i="6"/>
  <c r="V46" i="6"/>
  <c r="V44" i="6"/>
  <c r="V42" i="6"/>
  <c r="V40" i="6"/>
  <c r="D89" i="19"/>
  <c r="V49" i="6"/>
  <c r="V47" i="6"/>
  <c r="V45" i="6"/>
  <c r="V43" i="6"/>
  <c r="V41" i="6"/>
  <c r="V39" i="6"/>
  <c r="D88" i="19"/>
  <c r="Q49" i="6"/>
  <c r="Q48" i="6"/>
  <c r="Q47" i="6"/>
  <c r="Q46" i="6"/>
  <c r="Q45" i="6"/>
  <c r="Q44" i="6"/>
  <c r="Q43" i="6"/>
  <c r="Q42" i="6"/>
  <c r="Q41" i="6"/>
  <c r="Q40" i="6"/>
  <c r="Q39" i="6"/>
  <c r="Q38" i="6"/>
  <c r="E108" i="19"/>
  <c r="E69" i="19" s="1"/>
  <c r="AG20" i="20"/>
  <c r="AF22" i="20"/>
  <c r="AF21" i="7"/>
  <c r="E39" i="19"/>
  <c r="E93" i="19" s="1"/>
  <c r="E43" i="19"/>
  <c r="E42" i="19" s="1"/>
  <c r="E94" i="19" s="1"/>
  <c r="C22" i="9"/>
  <c r="C14" i="13" s="1"/>
  <c r="E20" i="9"/>
  <c r="E17" i="19"/>
  <c r="E86" i="19" s="1"/>
  <c r="C20" i="10"/>
  <c r="E20" i="10" s="1"/>
  <c r="G20" i="10" s="1"/>
  <c r="I20" i="10" s="1"/>
  <c r="K20" i="10" s="1"/>
  <c r="M20" i="10" s="1"/>
  <c r="O20" i="10" s="1"/>
  <c r="Q20" i="10" s="1"/>
  <c r="S20" i="10" s="1"/>
  <c r="U20" i="10" s="1"/>
  <c r="W20" i="10" s="1"/>
  <c r="Y20" i="10" s="1"/>
  <c r="AA20" i="10" s="1"/>
  <c r="AG22" i="10"/>
  <c r="AK39" i="7"/>
  <c r="AK37" i="7"/>
  <c r="AF38" i="7"/>
  <c r="X26" i="7"/>
  <c r="E26" i="8" s="1"/>
  <c r="AF16" i="6"/>
  <c r="AF14" i="6"/>
  <c r="X23" i="6"/>
  <c r="D23" i="8" s="1"/>
  <c r="N20" i="12"/>
  <c r="G38" i="12"/>
  <c r="F38" i="8" s="1"/>
  <c r="N22" i="12"/>
  <c r="E95" i="19"/>
  <c r="P14" i="12"/>
  <c r="N17" i="12"/>
  <c r="P17" i="12" s="1"/>
  <c r="AG25" i="20"/>
  <c r="AF32" i="20"/>
  <c r="AK23" i="6"/>
  <c r="X23" i="7"/>
  <c r="E23" i="8" s="1"/>
  <c r="E23" i="19"/>
  <c r="E88" i="19" s="1"/>
  <c r="E27" i="19"/>
  <c r="E26" i="19" s="1"/>
  <c r="E89" i="19" s="1"/>
  <c r="AK17" i="6"/>
  <c r="E105" i="19"/>
  <c r="E66" i="19" s="1"/>
  <c r="E13" i="20"/>
  <c r="C16" i="20"/>
  <c r="C13" i="21" s="1"/>
  <c r="AF22" i="7"/>
  <c r="AF20" i="7"/>
  <c r="D94" i="19"/>
  <c r="V49" i="7"/>
  <c r="V48" i="7"/>
  <c r="V47" i="7"/>
  <c r="V46" i="7"/>
  <c r="V45" i="7"/>
  <c r="V44" i="7"/>
  <c r="V43" i="7"/>
  <c r="V42" i="7"/>
  <c r="V41" i="7"/>
  <c r="V40" i="7"/>
  <c r="V39" i="7"/>
  <c r="V38" i="7"/>
  <c r="D93" i="19"/>
  <c r="Q38" i="7"/>
  <c r="Q49" i="7"/>
  <c r="Q48" i="7"/>
  <c r="Q47" i="7"/>
  <c r="Q46" i="7"/>
  <c r="Q45" i="7"/>
  <c r="Q44" i="7"/>
  <c r="Q43" i="7"/>
  <c r="Q42" i="7"/>
  <c r="X42" i="7" s="1"/>
  <c r="E42" i="8" s="1"/>
  <c r="Q41" i="7"/>
  <c r="Q40" i="7"/>
  <c r="X40" i="7" s="1"/>
  <c r="E40" i="8" s="1"/>
  <c r="Q39" i="7"/>
  <c r="AA29" i="20"/>
  <c r="M22" i="12"/>
  <c r="G49" i="6"/>
  <c r="G38" i="6"/>
  <c r="G48" i="6"/>
  <c r="G47" i="6"/>
  <c r="G46" i="6"/>
  <c r="G45" i="6"/>
  <c r="G44" i="6"/>
  <c r="G43" i="6"/>
  <c r="G42" i="6"/>
  <c r="G41" i="6"/>
  <c r="G40" i="6"/>
  <c r="G39" i="6"/>
  <c r="D86" i="19"/>
  <c r="AF37" i="6"/>
  <c r="AF39" i="6"/>
  <c r="AK37" i="6"/>
  <c r="AM31" i="6"/>
  <c r="AD11" i="6"/>
  <c r="X25" i="7"/>
  <c r="E25" i="8" s="1"/>
  <c r="E35" i="9"/>
  <c r="C38" i="9"/>
  <c r="AE16" i="7"/>
  <c r="F30" i="7"/>
  <c r="X28" i="6"/>
  <c r="F29" i="6"/>
  <c r="D13" i="8"/>
  <c r="N8" i="8"/>
  <c r="G11" i="12"/>
  <c r="F11" i="8" s="1"/>
  <c r="D12" i="12"/>
  <c r="K28" i="7"/>
  <c r="X27" i="7"/>
  <c r="E27" i="8" s="1"/>
  <c r="K33" i="6"/>
  <c r="K34" i="6" s="1"/>
  <c r="AJ17" i="6"/>
  <c r="X14" i="6"/>
  <c r="D14" i="8" s="1"/>
  <c r="AC10" i="6"/>
  <c r="AM33" i="6" s="1"/>
  <c r="D15" i="6"/>
  <c r="G10" i="13"/>
  <c r="F25" i="8"/>
  <c r="M23" i="17"/>
  <c r="E31" i="20"/>
  <c r="D41" i="12"/>
  <c r="G40" i="12"/>
  <c r="F40" i="8" s="1"/>
  <c r="K48" i="6"/>
  <c r="K49" i="6" s="1"/>
  <c r="AJ23" i="6"/>
  <c r="F45" i="6"/>
  <c r="AE22" i="6"/>
  <c r="K48" i="7"/>
  <c r="K49" i="7" s="1"/>
  <c r="AJ23" i="7"/>
  <c r="O23" i="23"/>
  <c r="M8" i="8"/>
  <c r="E31" i="10"/>
  <c r="C32" i="10"/>
  <c r="K25" i="10"/>
  <c r="F45" i="7"/>
  <c r="AE22" i="7"/>
  <c r="D12" i="7"/>
  <c r="X11" i="7"/>
  <c r="E11" i="8" s="1"/>
  <c r="AC9" i="7"/>
  <c r="AM32" i="7" s="1"/>
  <c r="G26" i="12"/>
  <c r="F26" i="8" s="1"/>
  <c r="D27" i="12"/>
  <c r="O23" i="16"/>
  <c r="K25" i="9"/>
  <c r="H8" i="8"/>
  <c r="AK40" i="6" l="1"/>
  <c r="X42" i="6"/>
  <c r="D42" i="8" s="1"/>
  <c r="E85" i="19"/>
  <c r="E96" i="19" s="1"/>
  <c r="AK17" i="7"/>
  <c r="P18" i="12"/>
  <c r="AF40" i="7"/>
  <c r="E90" i="19"/>
  <c r="AF40" i="6"/>
  <c r="AF45" i="7"/>
  <c r="AF23" i="7"/>
  <c r="C122" i="19"/>
  <c r="AM38" i="6"/>
  <c r="C31" i="9"/>
  <c r="C32" i="9" s="1"/>
  <c r="C13" i="13"/>
  <c r="E16" i="9"/>
  <c r="G13" i="9"/>
  <c r="E19" i="10"/>
  <c r="E22" i="10" s="1"/>
  <c r="E14" i="14" s="1"/>
  <c r="E10" i="14"/>
  <c r="P8" i="8"/>
  <c r="E35" i="10"/>
  <c r="C38" i="10"/>
  <c r="AF22" i="6"/>
  <c r="AF44" i="6"/>
  <c r="E16" i="10"/>
  <c r="E13" i="14" s="1"/>
  <c r="G13" i="10"/>
  <c r="E35" i="20"/>
  <c r="C38" i="20"/>
  <c r="D90" i="19"/>
  <c r="X39" i="7"/>
  <c r="E39" i="8" s="1"/>
  <c r="AK44" i="7"/>
  <c r="X43" i="7"/>
  <c r="E43" i="8" s="1"/>
  <c r="AK40" i="7"/>
  <c r="G35" i="9"/>
  <c r="E38" i="9"/>
  <c r="E15" i="16" s="1"/>
  <c r="AF43" i="7"/>
  <c r="X38" i="7"/>
  <c r="E38" i="8" s="1"/>
  <c r="C25" i="20"/>
  <c r="AG32" i="20"/>
  <c r="L14" i="8"/>
  <c r="H23" i="8"/>
  <c r="C8" i="10" s="1"/>
  <c r="E22" i="9"/>
  <c r="G20" i="9"/>
  <c r="X41" i="7"/>
  <c r="E41" i="8" s="1"/>
  <c r="M21" i="8" s="1"/>
  <c r="C20" i="20"/>
  <c r="E20" i="20" s="1"/>
  <c r="G20" i="20" s="1"/>
  <c r="I20" i="20" s="1"/>
  <c r="K20" i="20" s="1"/>
  <c r="M20" i="20" s="1"/>
  <c r="O20" i="20" s="1"/>
  <c r="Q20" i="20" s="1"/>
  <c r="S20" i="20" s="1"/>
  <c r="U20" i="20" s="1"/>
  <c r="W20" i="20" s="1"/>
  <c r="Y20" i="20" s="1"/>
  <c r="AA20" i="20" s="1"/>
  <c r="AG22" i="20"/>
  <c r="X39" i="6"/>
  <c r="D39" i="8" s="1"/>
  <c r="D85" i="19"/>
  <c r="AK43" i="6"/>
  <c r="X44" i="7"/>
  <c r="E44" i="8" s="1"/>
  <c r="X44" i="6"/>
  <c r="D44" i="8" s="1"/>
  <c r="AF21" i="6"/>
  <c r="X41" i="6"/>
  <c r="D41" i="8" s="1"/>
  <c r="X43" i="6"/>
  <c r="D43" i="8" s="1"/>
  <c r="AF20" i="6"/>
  <c r="X38" i="6"/>
  <c r="D38" i="8" s="1"/>
  <c r="M23" i="12"/>
  <c r="P22" i="12"/>
  <c r="AF44" i="7"/>
  <c r="AK43" i="7"/>
  <c r="AK45" i="7"/>
  <c r="E16" i="20"/>
  <c r="E13" i="21" s="1"/>
  <c r="G13" i="20"/>
  <c r="E104" i="19"/>
  <c r="M14" i="8"/>
  <c r="N23" i="12"/>
  <c r="P20" i="12"/>
  <c r="AM37" i="6"/>
  <c r="AF17" i="6"/>
  <c r="AM44" i="7"/>
  <c r="AF43" i="6"/>
  <c r="AF45" i="6"/>
  <c r="AK44" i="6"/>
  <c r="X40" i="6"/>
  <c r="D40" i="8" s="1"/>
  <c r="H40" i="8" s="1"/>
  <c r="G8" i="20" s="1"/>
  <c r="AK45" i="6"/>
  <c r="AM37" i="7"/>
  <c r="X15" i="6"/>
  <c r="D15" i="8" s="1"/>
  <c r="D16" i="6"/>
  <c r="K29" i="7"/>
  <c r="X28" i="7"/>
  <c r="E28" i="8" s="1"/>
  <c r="M15" i="8" s="1"/>
  <c r="F30" i="6"/>
  <c r="AE16" i="6"/>
  <c r="AM39" i="6" s="1"/>
  <c r="X29" i="6"/>
  <c r="D29" i="8" s="1"/>
  <c r="F31" i="7"/>
  <c r="D13" i="12"/>
  <c r="G12" i="12"/>
  <c r="F12" i="8" s="1"/>
  <c r="L9" i="8"/>
  <c r="D28" i="8"/>
  <c r="N20" i="8"/>
  <c r="M25" i="9"/>
  <c r="Q23" i="16"/>
  <c r="H26" i="8"/>
  <c r="I8" i="10" s="1"/>
  <c r="H11" i="8"/>
  <c r="I8" i="9" s="1"/>
  <c r="F46" i="6"/>
  <c r="X45" i="6"/>
  <c r="C8" i="9"/>
  <c r="B104" i="19"/>
  <c r="G27" i="12"/>
  <c r="F27" i="8" s="1"/>
  <c r="H27" i="8" s="1"/>
  <c r="K8" i="10" s="1"/>
  <c r="D28" i="12"/>
  <c r="X12" i="7"/>
  <c r="E12" i="8" s="1"/>
  <c r="D13" i="7"/>
  <c r="C16" i="14"/>
  <c r="G31" i="10"/>
  <c r="E32" i="10"/>
  <c r="G31" i="20"/>
  <c r="H25" i="8"/>
  <c r="G8" i="10" s="1"/>
  <c r="N14" i="8"/>
  <c r="F46" i="7"/>
  <c r="X45" i="7"/>
  <c r="M25" i="10"/>
  <c r="Q23" i="23"/>
  <c r="D42" i="12"/>
  <c r="G41" i="12"/>
  <c r="O23" i="17"/>
  <c r="L20" i="8" l="1"/>
  <c r="AM44" i="6"/>
  <c r="AM45" i="7"/>
  <c r="H39" i="8"/>
  <c r="E8" i="20" s="1"/>
  <c r="M20" i="8"/>
  <c r="H38" i="8"/>
  <c r="C8" i="20" s="1"/>
  <c r="C10" i="21" s="1"/>
  <c r="E13" i="13"/>
  <c r="E31" i="9"/>
  <c r="E32" i="9" s="1"/>
  <c r="E16" i="13" s="1"/>
  <c r="C16" i="13"/>
  <c r="C18" i="13" s="1"/>
  <c r="C40" i="9"/>
  <c r="C10" i="19"/>
  <c r="C123" i="19"/>
  <c r="C124" i="19" s="1"/>
  <c r="G16" i="9"/>
  <c r="I13" i="9"/>
  <c r="G10" i="21"/>
  <c r="G19" i="20"/>
  <c r="G22" i="20" s="1"/>
  <c r="AM45" i="6"/>
  <c r="AF46" i="6"/>
  <c r="I13" i="10"/>
  <c r="G16" i="10"/>
  <c r="G13" i="14" s="1"/>
  <c r="AM43" i="7"/>
  <c r="E38" i="20"/>
  <c r="G35" i="20"/>
  <c r="G35" i="10"/>
  <c r="E38" i="10"/>
  <c r="AK46" i="7"/>
  <c r="E120" i="19"/>
  <c r="E122" i="19" s="1"/>
  <c r="G16" i="20"/>
  <c r="G13" i="21" s="1"/>
  <c r="I13" i="20"/>
  <c r="D96" i="19"/>
  <c r="D104" i="19"/>
  <c r="E14" i="13"/>
  <c r="C10" i="14"/>
  <c r="C19" i="10"/>
  <c r="C22" i="10" s="1"/>
  <c r="C40" i="10" s="1"/>
  <c r="P23" i="12"/>
  <c r="P24" i="12" s="1"/>
  <c r="AF23" i="6"/>
  <c r="AM43" i="6"/>
  <c r="L21" i="8"/>
  <c r="AK46" i="6"/>
  <c r="E19" i="20"/>
  <c r="E22" i="20" s="1"/>
  <c r="E14" i="21" s="1"/>
  <c r="E10" i="21"/>
  <c r="I20" i="9"/>
  <c r="G22" i="9"/>
  <c r="G14" i="13" s="1"/>
  <c r="E25" i="20"/>
  <c r="C32" i="20"/>
  <c r="C16" i="21" s="1"/>
  <c r="AF46" i="7"/>
  <c r="I35" i="9"/>
  <c r="G38" i="9"/>
  <c r="G15" i="16" s="1"/>
  <c r="H12" i="8"/>
  <c r="K8" i="9" s="1"/>
  <c r="K10" i="13" s="1"/>
  <c r="X30" i="6"/>
  <c r="F31" i="6"/>
  <c r="K30" i="7"/>
  <c r="AJ16" i="7"/>
  <c r="AM39" i="7" s="1"/>
  <c r="X29" i="7"/>
  <c r="L15" i="8"/>
  <c r="D14" i="12"/>
  <c r="G13" i="12"/>
  <c r="F32" i="7"/>
  <c r="X16" i="6"/>
  <c r="D17" i="6"/>
  <c r="Q23" i="17"/>
  <c r="D43" i="12"/>
  <c r="G42" i="12"/>
  <c r="F42" i="8" s="1"/>
  <c r="H42" i="8" s="1"/>
  <c r="K8" i="20" s="1"/>
  <c r="S23" i="23"/>
  <c r="O25" i="10"/>
  <c r="X46" i="7"/>
  <c r="E46" i="8" s="1"/>
  <c r="F47" i="7"/>
  <c r="G19" i="10"/>
  <c r="G10" i="14"/>
  <c r="I31" i="20"/>
  <c r="C19" i="20"/>
  <c r="I31" i="10"/>
  <c r="G32" i="10"/>
  <c r="G16" i="14" s="1"/>
  <c r="G28" i="12"/>
  <c r="D29" i="12"/>
  <c r="C14" i="14"/>
  <c r="C42" i="9"/>
  <c r="C45" i="9" s="1"/>
  <c r="C10" i="13"/>
  <c r="X46" i="6"/>
  <c r="D46" i="8" s="1"/>
  <c r="F47" i="6"/>
  <c r="O25" i="9"/>
  <c r="F41" i="8"/>
  <c r="E45" i="8"/>
  <c r="P14" i="8"/>
  <c r="G14" i="21"/>
  <c r="P20" i="8"/>
  <c r="E16" i="14"/>
  <c r="E18" i="14" s="1"/>
  <c r="E20" i="14" s="1"/>
  <c r="E31" i="14" s="1"/>
  <c r="E40" i="10"/>
  <c r="E42" i="10" s="1"/>
  <c r="E45" i="10" s="1"/>
  <c r="X13" i="7"/>
  <c r="D14" i="7"/>
  <c r="K19" i="10"/>
  <c r="K22" i="10" s="1"/>
  <c r="K14" i="14" s="1"/>
  <c r="K10" i="14"/>
  <c r="B120" i="19"/>
  <c r="B122" i="19" s="1"/>
  <c r="C63" i="19"/>
  <c r="D45" i="8"/>
  <c r="I19" i="9"/>
  <c r="I10" i="13"/>
  <c r="I19" i="10"/>
  <c r="I22" i="10" s="1"/>
  <c r="I10" i="14"/>
  <c r="S23" i="16"/>
  <c r="K19" i="9" l="1"/>
  <c r="E18" i="13"/>
  <c r="E20" i="13" s="1"/>
  <c r="E31" i="13" s="1"/>
  <c r="E40" i="9"/>
  <c r="E42" i="9" s="1"/>
  <c r="E45" i="9" s="1"/>
  <c r="K13" i="9"/>
  <c r="I16" i="9"/>
  <c r="G13" i="13"/>
  <c r="G18" i="13" s="1"/>
  <c r="G31" i="9"/>
  <c r="G32" i="9" s="1"/>
  <c r="G16" i="13" s="1"/>
  <c r="I35" i="20"/>
  <c r="G38" i="20"/>
  <c r="I16" i="10"/>
  <c r="I13" i="14" s="1"/>
  <c r="K13" i="10"/>
  <c r="I35" i="10"/>
  <c r="G38" i="10"/>
  <c r="G25" i="20"/>
  <c r="E32" i="20"/>
  <c r="K20" i="9"/>
  <c r="M20" i="9" s="1"/>
  <c r="O20" i="9" s="1"/>
  <c r="Q20" i="9" s="1"/>
  <c r="S20" i="9" s="1"/>
  <c r="U20" i="9" s="1"/>
  <c r="W20" i="9" s="1"/>
  <c r="Y20" i="9" s="1"/>
  <c r="E10" i="19"/>
  <c r="E11" i="19" s="1"/>
  <c r="E123" i="19"/>
  <c r="E124" i="19" s="1"/>
  <c r="E46" i="9"/>
  <c r="E48" i="9" s="1"/>
  <c r="E31" i="16" s="1"/>
  <c r="D63" i="19"/>
  <c r="D120" i="19"/>
  <c r="G40" i="9"/>
  <c r="G42" i="9" s="1"/>
  <c r="G45" i="9" s="1"/>
  <c r="I38" i="9"/>
  <c r="I15" i="16" s="1"/>
  <c r="K35" i="9"/>
  <c r="D122" i="19"/>
  <c r="K13" i="20"/>
  <c r="I16" i="20"/>
  <c r="I13" i="21" s="1"/>
  <c r="E63" i="19"/>
  <c r="D16" i="8"/>
  <c r="G14" i="12"/>
  <c r="F14" i="8" s="1"/>
  <c r="D15" i="12"/>
  <c r="F32" i="6"/>
  <c r="X31" i="6"/>
  <c r="D31" i="8" s="1"/>
  <c r="AC11" i="6"/>
  <c r="AM34" i="6" s="1"/>
  <c r="AM35" i="6" s="1"/>
  <c r="X17" i="6"/>
  <c r="D17" i="8" s="1"/>
  <c r="D18" i="6"/>
  <c r="F33" i="7"/>
  <c r="AE17" i="7"/>
  <c r="F13" i="8"/>
  <c r="N9" i="8" s="1"/>
  <c r="E29" i="8"/>
  <c r="K31" i="7"/>
  <c r="X30" i="7"/>
  <c r="E30" i="8" s="1"/>
  <c r="D30" i="8"/>
  <c r="U23" i="16"/>
  <c r="I22" i="9"/>
  <c r="L22" i="8"/>
  <c r="I14" i="14"/>
  <c r="E13" i="8"/>
  <c r="M22" i="8"/>
  <c r="F48" i="6"/>
  <c r="X47" i="6"/>
  <c r="AE23" i="6"/>
  <c r="AM46" i="6" s="1"/>
  <c r="AM47" i="6" s="1"/>
  <c r="C20" i="13"/>
  <c r="C31" i="13" s="1"/>
  <c r="C33" i="13" s="1"/>
  <c r="G29" i="12"/>
  <c r="F29" i="8" s="1"/>
  <c r="D30" i="12"/>
  <c r="C22" i="20"/>
  <c r="K31" i="20"/>
  <c r="G22" i="10"/>
  <c r="U23" i="23"/>
  <c r="D44" i="12"/>
  <c r="G43" i="12"/>
  <c r="B123" i="19"/>
  <c r="B124" i="19" s="1"/>
  <c r="B10" i="19"/>
  <c r="X14" i="7"/>
  <c r="E14" i="8" s="1"/>
  <c r="D15" i="7"/>
  <c r="AC10" i="7"/>
  <c r="AM33" i="7" s="1"/>
  <c r="E46" i="10"/>
  <c r="E48" i="10" s="1"/>
  <c r="E31" i="17" s="1"/>
  <c r="H41" i="8"/>
  <c r="I8" i="20" s="1"/>
  <c r="Q25" i="9"/>
  <c r="C46" i="9"/>
  <c r="C48" i="9" s="1"/>
  <c r="C42" i="10"/>
  <c r="C45" i="10" s="1"/>
  <c r="C18" i="14"/>
  <c r="F28" i="8"/>
  <c r="K31" i="10"/>
  <c r="I32" i="10"/>
  <c r="F48" i="7"/>
  <c r="X47" i="7"/>
  <c r="AE23" i="7"/>
  <c r="AM46" i="7" s="1"/>
  <c r="AM47" i="7" s="1"/>
  <c r="Q25" i="10"/>
  <c r="K19" i="20"/>
  <c r="K22" i="20" s="1"/>
  <c r="K10" i="21"/>
  <c r="S23" i="17"/>
  <c r="I13" i="13" l="1"/>
  <c r="I31" i="9"/>
  <c r="I32" i="9" s="1"/>
  <c r="I16" i="13" s="1"/>
  <c r="K16" i="9"/>
  <c r="M13" i="9"/>
  <c r="AA20" i="9"/>
  <c r="K22" i="9"/>
  <c r="K14" i="13" s="1"/>
  <c r="K16" i="10"/>
  <c r="K13" i="14" s="1"/>
  <c r="M13" i="10"/>
  <c r="K35" i="10"/>
  <c r="I38" i="10"/>
  <c r="K35" i="20"/>
  <c r="I38" i="20"/>
  <c r="D10" i="19"/>
  <c r="D123" i="19"/>
  <c r="D124" i="19" s="1"/>
  <c r="E16" i="21"/>
  <c r="E18" i="21" s="1"/>
  <c r="E20" i="21" s="1"/>
  <c r="E31" i="21" s="1"/>
  <c r="E40" i="20"/>
  <c r="E42" i="20" s="1"/>
  <c r="E45" i="20" s="1"/>
  <c r="E46" i="20" s="1"/>
  <c r="E48" i="20" s="1"/>
  <c r="E31" i="23" s="1"/>
  <c r="K16" i="20"/>
  <c r="K13" i="21" s="1"/>
  <c r="M13" i="20"/>
  <c r="K38" i="9"/>
  <c r="M35" i="9"/>
  <c r="I25" i="20"/>
  <c r="G32" i="20"/>
  <c r="F34" i="7"/>
  <c r="X32" i="6"/>
  <c r="AE17" i="6"/>
  <c r="AM40" i="6" s="1"/>
  <c r="AM41" i="6" s="1"/>
  <c r="F33" i="6"/>
  <c r="L10" i="8"/>
  <c r="L16" i="8"/>
  <c r="K32" i="7"/>
  <c r="X31" i="7"/>
  <c r="E31" i="8" s="1"/>
  <c r="M16" i="8" s="1"/>
  <c r="D19" i="6"/>
  <c r="X19" i="6" s="1"/>
  <c r="D19" i="8" s="1"/>
  <c r="X18" i="6"/>
  <c r="D18" i="8" s="1"/>
  <c r="G15" i="12"/>
  <c r="F15" i="8" s="1"/>
  <c r="D16" i="12"/>
  <c r="K14" i="21"/>
  <c r="S25" i="10"/>
  <c r="M31" i="10"/>
  <c r="K32" i="10"/>
  <c r="U23" i="17"/>
  <c r="X48" i="7"/>
  <c r="E48" i="8" s="1"/>
  <c r="F49" i="7"/>
  <c r="X49" i="7" s="1"/>
  <c r="E49" i="8" s="1"/>
  <c r="I16" i="14"/>
  <c r="I18" i="14" s="1"/>
  <c r="I20" i="14" s="1"/>
  <c r="I31" i="14" s="1"/>
  <c r="C24" i="16"/>
  <c r="I10" i="21"/>
  <c r="I19" i="20"/>
  <c r="G20" i="13"/>
  <c r="G31" i="13" s="1"/>
  <c r="H14" i="8"/>
  <c r="O8" i="9" s="1"/>
  <c r="D45" i="12"/>
  <c r="G44" i="12"/>
  <c r="F44" i="8" s="1"/>
  <c r="W23" i="23"/>
  <c r="G14" i="14"/>
  <c r="G40" i="10"/>
  <c r="M31" i="20"/>
  <c r="C14" i="21"/>
  <c r="C40" i="20"/>
  <c r="H29" i="8"/>
  <c r="O8" i="10" s="1"/>
  <c r="E8" i="13"/>
  <c r="E33" i="13" s="1"/>
  <c r="C11" i="16"/>
  <c r="C17" i="16" s="1"/>
  <c r="D47" i="8"/>
  <c r="I14" i="13"/>
  <c r="I40" i="9"/>
  <c r="I40" i="10"/>
  <c r="I42" i="10" s="1"/>
  <c r="I45" i="10" s="1"/>
  <c r="E47" i="8"/>
  <c r="H28" i="8"/>
  <c r="M8" i="10" s="1"/>
  <c r="N15" i="8"/>
  <c r="C20" i="14"/>
  <c r="C31" i="14" s="1"/>
  <c r="C46" i="10"/>
  <c r="C48" i="10" s="1"/>
  <c r="C31" i="16"/>
  <c r="E30" i="16" s="1"/>
  <c r="G30" i="16" s="1"/>
  <c r="S25" i="9"/>
  <c r="X15" i="7"/>
  <c r="E15" i="8" s="1"/>
  <c r="D16" i="7"/>
  <c r="F43" i="8"/>
  <c r="G30" i="12"/>
  <c r="D31" i="12"/>
  <c r="X48" i="6"/>
  <c r="D48" i="8" s="1"/>
  <c r="F49" i="6"/>
  <c r="X49" i="6" s="1"/>
  <c r="D49" i="8" s="1"/>
  <c r="G46" i="9"/>
  <c r="G48" i="9" s="1"/>
  <c r="G31" i="16" s="1"/>
  <c r="H13" i="8"/>
  <c r="M8" i="9" s="1"/>
  <c r="M9" i="8"/>
  <c r="W23" i="16"/>
  <c r="O13" i="9" l="1"/>
  <c r="M16" i="9"/>
  <c r="K31" i="9"/>
  <c r="K32" i="9" s="1"/>
  <c r="K16" i="13" s="1"/>
  <c r="K13" i="13"/>
  <c r="O13" i="10"/>
  <c r="M16" i="10"/>
  <c r="M13" i="14" s="1"/>
  <c r="M35" i="20"/>
  <c r="K38" i="20"/>
  <c r="K38" i="10"/>
  <c r="M35" i="10"/>
  <c r="K25" i="20"/>
  <c r="I32" i="20"/>
  <c r="I16" i="21" s="1"/>
  <c r="K15" i="16"/>
  <c r="H15" i="8"/>
  <c r="Q8" i="9" s="1"/>
  <c r="Q10" i="13" s="1"/>
  <c r="G16" i="21"/>
  <c r="G18" i="21" s="1"/>
  <c r="G20" i="21" s="1"/>
  <c r="G31" i="21" s="1"/>
  <c r="G40" i="20"/>
  <c r="G42" i="20" s="1"/>
  <c r="G45" i="20" s="1"/>
  <c r="G46" i="20" s="1"/>
  <c r="G48" i="20" s="1"/>
  <c r="G31" i="23" s="1"/>
  <c r="M38" i="9"/>
  <c r="O35" i="9"/>
  <c r="O13" i="20"/>
  <c r="M16" i="20"/>
  <c r="M13" i="21" s="1"/>
  <c r="X50" i="7"/>
  <c r="D20" i="8"/>
  <c r="AJ17" i="7"/>
  <c r="AM40" i="7" s="1"/>
  <c r="AM41" i="7" s="1"/>
  <c r="K33" i="7"/>
  <c r="X32" i="7"/>
  <c r="E32" i="8" s="1"/>
  <c r="F34" i="6"/>
  <c r="X34" i="6" s="1"/>
  <c r="D34" i="8" s="1"/>
  <c r="X33" i="6"/>
  <c r="D33" i="8" s="1"/>
  <c r="D32" i="8"/>
  <c r="X20" i="6"/>
  <c r="L11" i="8"/>
  <c r="L12" i="8" s="1"/>
  <c r="G16" i="12"/>
  <c r="F16" i="8" s="1"/>
  <c r="N10" i="8" s="1"/>
  <c r="D17" i="12"/>
  <c r="C31" i="17"/>
  <c r="Y23" i="16"/>
  <c r="G31" i="12"/>
  <c r="F31" i="8" s="1"/>
  <c r="H31" i="8" s="1"/>
  <c r="S8" i="10" s="1"/>
  <c r="D32" i="12"/>
  <c r="H43" i="8"/>
  <c r="M8" i="20" s="1"/>
  <c r="N21" i="8"/>
  <c r="Q19" i="9"/>
  <c r="Q22" i="9" s="1"/>
  <c r="Q14" i="13" s="1"/>
  <c r="P15" i="8"/>
  <c r="M23" i="8"/>
  <c r="M24" i="8" s="1"/>
  <c r="E50" i="8"/>
  <c r="I42" i="9"/>
  <c r="I45" i="9" s="1"/>
  <c r="I18" i="13"/>
  <c r="G8" i="13"/>
  <c r="G33" i="13" s="1"/>
  <c r="E11" i="16"/>
  <c r="E17" i="16" s="1"/>
  <c r="O19" i="10"/>
  <c r="O22" i="10" s="1"/>
  <c r="O10" i="14"/>
  <c r="C42" i="20"/>
  <c r="C45" i="20" s="1"/>
  <c r="C18" i="21"/>
  <c r="G18" i="14"/>
  <c r="H44" i="8"/>
  <c r="O8" i="20" s="1"/>
  <c r="O19" i="9"/>
  <c r="O22" i="9" s="1"/>
  <c r="O10" i="13"/>
  <c r="I22" i="20"/>
  <c r="W23" i="17"/>
  <c r="O31" i="10"/>
  <c r="M32" i="10"/>
  <c r="X50" i="6"/>
  <c r="P9" i="8"/>
  <c r="M19" i="9"/>
  <c r="M10" i="13"/>
  <c r="F30" i="8"/>
  <c r="X16" i="7"/>
  <c r="E16" i="8" s="1"/>
  <c r="M10" i="8" s="1"/>
  <c r="D17" i="7"/>
  <c r="U25" i="9"/>
  <c r="M19" i="10"/>
  <c r="M10" i="14"/>
  <c r="I46" i="10"/>
  <c r="I48" i="10" s="1"/>
  <c r="I31" i="17" s="1"/>
  <c r="L23" i="8"/>
  <c r="D50" i="8"/>
  <c r="O31" i="20"/>
  <c r="G42" i="10"/>
  <c r="G45" i="10" s="1"/>
  <c r="Y23" i="23"/>
  <c r="D46" i="12"/>
  <c r="G45" i="12"/>
  <c r="E24" i="16"/>
  <c r="C33" i="16"/>
  <c r="K16" i="14"/>
  <c r="K18" i="14" s="1"/>
  <c r="K20" i="14" s="1"/>
  <c r="K31" i="14" s="1"/>
  <c r="K40" i="10"/>
  <c r="K42" i="10" s="1"/>
  <c r="K45" i="10" s="1"/>
  <c r="U25" i="10"/>
  <c r="I30" i="16"/>
  <c r="X35" i="6" l="1"/>
  <c r="K18" i="13"/>
  <c r="K20" i="13" s="1"/>
  <c r="K31" i="13" s="1"/>
  <c r="K40" i="9"/>
  <c r="K42" i="9" s="1"/>
  <c r="K45" i="9" s="1"/>
  <c r="K46" i="9" s="1"/>
  <c r="K48" i="9" s="1"/>
  <c r="K31" i="16" s="1"/>
  <c r="Q13" i="9"/>
  <c r="O16" i="9"/>
  <c r="M31" i="9"/>
  <c r="M32" i="9" s="1"/>
  <c r="M16" i="13" s="1"/>
  <c r="M13" i="13"/>
  <c r="M38" i="10"/>
  <c r="O35" i="10"/>
  <c r="M38" i="20"/>
  <c r="O35" i="20"/>
  <c r="Q13" i="10"/>
  <c r="O16" i="10"/>
  <c r="O13" i="14" s="1"/>
  <c r="O16" i="20"/>
  <c r="O13" i="21" s="1"/>
  <c r="Q13" i="20"/>
  <c r="M15" i="16"/>
  <c r="M25" i="20"/>
  <c r="K32" i="20"/>
  <c r="O38" i="9"/>
  <c r="Q35" i="9"/>
  <c r="P10" i="8"/>
  <c r="G17" i="12"/>
  <c r="F17" i="8" s="1"/>
  <c r="D18" i="12"/>
  <c r="L17" i="8"/>
  <c r="L18" i="8" s="1"/>
  <c r="D35" i="8"/>
  <c r="K34" i="7"/>
  <c r="X34" i="7" s="1"/>
  <c r="X33" i="7"/>
  <c r="E33" i="8" s="1"/>
  <c r="W25" i="10"/>
  <c r="G24" i="16"/>
  <c r="E33" i="16"/>
  <c r="D47" i="12"/>
  <c r="G46" i="12"/>
  <c r="F46" i="8" s="1"/>
  <c r="H46" i="8" s="1"/>
  <c r="S8" i="20" s="1"/>
  <c r="M22" i="10"/>
  <c r="W25" i="9"/>
  <c r="H16" i="8"/>
  <c r="S8" i="9" s="1"/>
  <c r="H30" i="8"/>
  <c r="Q8" i="10" s="1"/>
  <c r="N16" i="8"/>
  <c r="M22" i="9"/>
  <c r="Q31" i="10"/>
  <c r="O32" i="10"/>
  <c r="O16" i="14" s="1"/>
  <c r="Y23" i="17"/>
  <c r="I14" i="21"/>
  <c r="I40" i="20"/>
  <c r="O19" i="20"/>
  <c r="O22" i="20" s="1"/>
  <c r="O10" i="21"/>
  <c r="C20" i="21"/>
  <c r="C31" i="21" s="1"/>
  <c r="C46" i="20"/>
  <c r="C48" i="20" s="1"/>
  <c r="O14" i="14"/>
  <c r="O18" i="14" s="1"/>
  <c r="O20" i="14" s="1"/>
  <c r="O31" i="14" s="1"/>
  <c r="I20" i="13"/>
  <c r="I31" i="13" s="1"/>
  <c r="M10" i="21"/>
  <c r="M19" i="20"/>
  <c r="S19" i="10"/>
  <c r="S22" i="10" s="1"/>
  <c r="S14" i="14" s="1"/>
  <c r="S10" i="14"/>
  <c r="K46" i="10"/>
  <c r="K48" i="10" s="1"/>
  <c r="K31" i="17" s="1"/>
  <c r="F45" i="8"/>
  <c r="G46" i="10"/>
  <c r="Q31" i="20"/>
  <c r="L24" i="8"/>
  <c r="X17" i="7"/>
  <c r="E17" i="8" s="1"/>
  <c r="D18" i="7"/>
  <c r="AC11" i="7"/>
  <c r="AM34" i="7" s="1"/>
  <c r="AM35" i="7" s="1"/>
  <c r="M16" i="14"/>
  <c r="O14" i="13"/>
  <c r="G20" i="14"/>
  <c r="G31" i="14" s="1"/>
  <c r="I8" i="13"/>
  <c r="G11" i="16"/>
  <c r="G17" i="16" s="1"/>
  <c r="I46" i="9"/>
  <c r="I48" i="9" s="1"/>
  <c r="P21" i="8"/>
  <c r="G32" i="12"/>
  <c r="F32" i="8" s="1"/>
  <c r="D33" i="12"/>
  <c r="Q16" i="9" l="1"/>
  <c r="S13" i="9"/>
  <c r="O13" i="13"/>
  <c r="O31" i="9"/>
  <c r="O32" i="9" s="1"/>
  <c r="Q16" i="10"/>
  <c r="Q13" i="14" s="1"/>
  <c r="S13" i="10"/>
  <c r="O38" i="20"/>
  <c r="Q35" i="20"/>
  <c r="O38" i="10"/>
  <c r="Q35" i="10"/>
  <c r="S35" i="9"/>
  <c r="Q38" i="9"/>
  <c r="K16" i="21"/>
  <c r="K18" i="21" s="1"/>
  <c r="K20" i="21" s="1"/>
  <c r="K31" i="21" s="1"/>
  <c r="K40" i="20"/>
  <c r="K42" i="20" s="1"/>
  <c r="K45" i="20" s="1"/>
  <c r="K46" i="20" s="1"/>
  <c r="K48" i="20" s="1"/>
  <c r="K31" i="23" s="1"/>
  <c r="I33" i="13"/>
  <c r="K8" i="13" s="1"/>
  <c r="K33" i="13" s="1"/>
  <c r="O15" i="16"/>
  <c r="O25" i="20"/>
  <c r="M32" i="20"/>
  <c r="M16" i="21" s="1"/>
  <c r="S13" i="20"/>
  <c r="Q16" i="20"/>
  <c r="Q13" i="21" s="1"/>
  <c r="E34" i="8"/>
  <c r="E35" i="8" s="1"/>
  <c r="X35" i="7"/>
  <c r="G18" i="12"/>
  <c r="F18" i="8" s="1"/>
  <c r="D19" i="12"/>
  <c r="G19" i="12" s="1"/>
  <c r="O40" i="10"/>
  <c r="O42" i="10" s="1"/>
  <c r="O45" i="10" s="1"/>
  <c r="C31" i="23"/>
  <c r="G33" i="12"/>
  <c r="F33" i="8" s="1"/>
  <c r="H33" i="8" s="1"/>
  <c r="W8" i="10" s="1"/>
  <c r="D34" i="12"/>
  <c r="G34" i="12" s="1"/>
  <c r="X18" i="7"/>
  <c r="E18" i="8" s="1"/>
  <c r="H18" i="8" s="1"/>
  <c r="W8" i="9" s="1"/>
  <c r="D19" i="7"/>
  <c r="X19" i="7" s="1"/>
  <c r="S31" i="20"/>
  <c r="I18" i="21"/>
  <c r="P16" i="8"/>
  <c r="M14" i="14"/>
  <c r="M40" i="10"/>
  <c r="S19" i="20"/>
  <c r="S22" i="20" s="1"/>
  <c r="S10" i="21"/>
  <c r="Y25" i="10"/>
  <c r="H32" i="8"/>
  <c r="U8" i="10" s="1"/>
  <c r="I31" i="16"/>
  <c r="K30" i="16" s="1"/>
  <c r="M30" i="16" s="1"/>
  <c r="H17" i="8"/>
  <c r="U8" i="9" s="1"/>
  <c r="H45" i="8"/>
  <c r="Q8" i="20" s="1"/>
  <c r="N22" i="8"/>
  <c r="M22" i="20"/>
  <c r="O46" i="10"/>
  <c r="O48" i="10" s="1"/>
  <c r="O31" i="17" s="1"/>
  <c r="O14" i="21"/>
  <c r="I42" i="20"/>
  <c r="I45" i="20" s="1"/>
  <c r="S31" i="10"/>
  <c r="Q32" i="10"/>
  <c r="M14" i="13"/>
  <c r="M18" i="13" s="1"/>
  <c r="M40" i="9"/>
  <c r="Q19" i="10"/>
  <c r="Q10" i="14"/>
  <c r="S19" i="9"/>
  <c r="S10" i="13"/>
  <c r="Y25" i="9"/>
  <c r="D48" i="12"/>
  <c r="G47" i="12"/>
  <c r="F47" i="8" s="1"/>
  <c r="I24" i="16"/>
  <c r="G33" i="16"/>
  <c r="G48" i="10"/>
  <c r="S16" i="9" l="1"/>
  <c r="U13" i="9"/>
  <c r="O16" i="13"/>
  <c r="O18" i="13" s="1"/>
  <c r="O20" i="13" s="1"/>
  <c r="O31" i="13" s="1"/>
  <c r="O40" i="9"/>
  <c r="O42" i="9" s="1"/>
  <c r="O45" i="9" s="1"/>
  <c r="O46" i="9" s="1"/>
  <c r="O48" i="9" s="1"/>
  <c r="O31" i="16" s="1"/>
  <c r="Q31" i="9"/>
  <c r="Q32" i="9" s="1"/>
  <c r="Q16" i="13" s="1"/>
  <c r="Q13" i="13"/>
  <c r="M17" i="8"/>
  <c r="M18" i="8" s="1"/>
  <c r="S35" i="10"/>
  <c r="Q38" i="10"/>
  <c r="S35" i="20"/>
  <c r="Q38" i="20"/>
  <c r="S16" i="10"/>
  <c r="S13" i="14" s="1"/>
  <c r="U13" i="10"/>
  <c r="I11" i="16"/>
  <c r="I17" i="16" s="1"/>
  <c r="U13" i="20"/>
  <c r="S16" i="20"/>
  <c r="S13" i="21" s="1"/>
  <c r="Q25" i="20"/>
  <c r="O32" i="20"/>
  <c r="S38" i="9"/>
  <c r="U35" i="9"/>
  <c r="Q15" i="16"/>
  <c r="F19" i="8"/>
  <c r="N11" i="8" s="1"/>
  <c r="N12" i="8" s="1"/>
  <c r="G20" i="12"/>
  <c r="F20" i="8" s="1"/>
  <c r="H47" i="8"/>
  <c r="U8" i="20" s="1"/>
  <c r="M20" i="13"/>
  <c r="M31" i="13" s="1"/>
  <c r="U31" i="10"/>
  <c r="S32" i="10"/>
  <c r="I46" i="20"/>
  <c r="I48" i="20" s="1"/>
  <c r="M14" i="21"/>
  <c r="M40" i="20"/>
  <c r="Q10" i="21"/>
  <c r="Q19" i="20"/>
  <c r="S14" i="21"/>
  <c r="M42" i="10"/>
  <c r="M45" i="10" s="1"/>
  <c r="E19" i="8"/>
  <c r="X20" i="7"/>
  <c r="M8" i="13"/>
  <c r="K11" i="16"/>
  <c r="K17" i="16" s="1"/>
  <c r="W19" i="10"/>
  <c r="W22" i="10" s="1"/>
  <c r="W14" i="14" s="1"/>
  <c r="W10" i="14"/>
  <c r="G31" i="17"/>
  <c r="K24" i="16"/>
  <c r="I33" i="16"/>
  <c r="D49" i="12"/>
  <c r="G49" i="12" s="1"/>
  <c r="G48" i="12"/>
  <c r="F48" i="8" s="1"/>
  <c r="H48" i="8" s="1"/>
  <c r="W8" i="20" s="1"/>
  <c r="AA25" i="9"/>
  <c r="S22" i="9"/>
  <c r="Q22" i="10"/>
  <c r="M42" i="9"/>
  <c r="M45" i="9" s="1"/>
  <c r="Q16" i="14"/>
  <c r="P22" i="8"/>
  <c r="U19" i="9"/>
  <c r="U22" i="9" s="1"/>
  <c r="U10" i="13"/>
  <c r="U19" i="10"/>
  <c r="U22" i="10" s="1"/>
  <c r="U10" i="14"/>
  <c r="AA25" i="10"/>
  <c r="M18" i="14"/>
  <c r="I20" i="21"/>
  <c r="I31" i="21" s="1"/>
  <c r="U31" i="20"/>
  <c r="W19" i="9"/>
  <c r="W22" i="9" s="1"/>
  <c r="W14" i="13" s="1"/>
  <c r="W10" i="13"/>
  <c r="F34" i="8"/>
  <c r="G35" i="12"/>
  <c r="F35" i="8" s="1"/>
  <c r="H35" i="8" s="1"/>
  <c r="Q40" i="9" l="1"/>
  <c r="Q42" i="9" s="1"/>
  <c r="Q45" i="9" s="1"/>
  <c r="Q46" i="9" s="1"/>
  <c r="Q48" i="9" s="1"/>
  <c r="Q31" i="16" s="1"/>
  <c r="Q18" i="13"/>
  <c r="Q20" i="13" s="1"/>
  <c r="Q31" i="13" s="1"/>
  <c r="S31" i="9"/>
  <c r="S32" i="9" s="1"/>
  <c r="S16" i="13" s="1"/>
  <c r="S13" i="13"/>
  <c r="W13" i="9"/>
  <c r="U16" i="9"/>
  <c r="S15" i="16"/>
  <c r="W13" i="10"/>
  <c r="U16" i="10"/>
  <c r="U13" i="14" s="1"/>
  <c r="U35" i="20"/>
  <c r="S38" i="20"/>
  <c r="S38" i="10"/>
  <c r="U35" i="10"/>
  <c r="S25" i="20"/>
  <c r="Q32" i="20"/>
  <c r="Q16" i="21" s="1"/>
  <c r="U16" i="20"/>
  <c r="U13" i="21" s="1"/>
  <c r="W13" i="20"/>
  <c r="M33" i="13"/>
  <c r="M11" i="16" s="1"/>
  <c r="M17" i="16" s="1"/>
  <c r="U38" i="9"/>
  <c r="U15" i="16" s="1"/>
  <c r="W35" i="9"/>
  <c r="O16" i="21"/>
  <c r="O18" i="21" s="1"/>
  <c r="O20" i="21" s="1"/>
  <c r="O31" i="21" s="1"/>
  <c r="O40" i="20"/>
  <c r="O42" i="20" s="1"/>
  <c r="O45" i="20" s="1"/>
  <c r="O46" i="20" s="1"/>
  <c r="O48" i="20" s="1"/>
  <c r="O31" i="23" s="1"/>
  <c r="I31" i="23"/>
  <c r="M20" i="14"/>
  <c r="M31" i="14" s="1"/>
  <c r="U14" i="14"/>
  <c r="U14" i="13"/>
  <c r="M46" i="9"/>
  <c r="M48" i="9" s="1"/>
  <c r="Q14" i="14"/>
  <c r="Q40" i="10"/>
  <c r="S14" i="13"/>
  <c r="S18" i="13" s="1"/>
  <c r="S20" i="13" s="1"/>
  <c r="S31" i="13" s="1"/>
  <c r="S40" i="9"/>
  <c r="S42" i="9" s="1"/>
  <c r="S45" i="9" s="1"/>
  <c r="F49" i="8"/>
  <c r="H49" i="8" s="1"/>
  <c r="Y8" i="20" s="1"/>
  <c r="G50" i="12"/>
  <c r="F50" i="8" s="1"/>
  <c r="H50" i="8" s="1"/>
  <c r="K33" i="16"/>
  <c r="Q22" i="20"/>
  <c r="M18" i="21"/>
  <c r="S16" i="14"/>
  <c r="S18" i="14" s="1"/>
  <c r="S20" i="14" s="1"/>
  <c r="S31" i="14" s="1"/>
  <c r="S40" i="10"/>
  <c r="S42" i="10" s="1"/>
  <c r="S45" i="10" s="1"/>
  <c r="U10" i="21"/>
  <c r="U19" i="20"/>
  <c r="U22" i="20" s="1"/>
  <c r="H34" i="8"/>
  <c r="Y8" i="10" s="1"/>
  <c r="N17" i="8"/>
  <c r="W31" i="20"/>
  <c r="W19" i="20"/>
  <c r="W22" i="20" s="1"/>
  <c r="W10" i="21"/>
  <c r="O8" i="13"/>
  <c r="O33" i="13" s="1"/>
  <c r="H19" i="8"/>
  <c r="Y8" i="9" s="1"/>
  <c r="E20" i="8"/>
  <c r="H20" i="8" s="1"/>
  <c r="M11" i="8"/>
  <c r="M46" i="10"/>
  <c r="M48" i="10" s="1"/>
  <c r="M42" i="20"/>
  <c r="M45" i="20" s="1"/>
  <c r="W31" i="10"/>
  <c r="U32" i="10"/>
  <c r="U16" i="14" s="1"/>
  <c r="N23" i="8"/>
  <c r="U13" i="13" l="1"/>
  <c r="U31" i="9"/>
  <c r="U32" i="9" s="1"/>
  <c r="Y13" i="9"/>
  <c r="Y16" i="9" s="1"/>
  <c r="W16" i="9"/>
  <c r="AA13" i="9"/>
  <c r="U38" i="20"/>
  <c r="W35" i="20"/>
  <c r="W16" i="10"/>
  <c r="Y13" i="10"/>
  <c r="Y16" i="10" s="1"/>
  <c r="Y13" i="14" s="1"/>
  <c r="W35" i="10"/>
  <c r="U38" i="10"/>
  <c r="U25" i="20"/>
  <c r="S32" i="20"/>
  <c r="Y35" i="9"/>
  <c r="Y38" i="9" s="1"/>
  <c r="W38" i="9"/>
  <c r="AA35" i="9"/>
  <c r="Y13" i="20"/>
  <c r="W16" i="20"/>
  <c r="W13" i="21" s="1"/>
  <c r="M24" i="16"/>
  <c r="M31" i="16"/>
  <c r="O30" i="16" s="1"/>
  <c r="Q30" i="16" s="1"/>
  <c r="S30" i="16" s="1"/>
  <c r="Y31" i="10"/>
  <c r="W32" i="10"/>
  <c r="M46" i="20"/>
  <c r="M48" i="20" s="1"/>
  <c r="M31" i="17"/>
  <c r="P11" i="8"/>
  <c r="M12" i="8"/>
  <c r="P12" i="8" s="1"/>
  <c r="Y19" i="9"/>
  <c r="Y10" i="13"/>
  <c r="AA8" i="9"/>
  <c r="Q8" i="13"/>
  <c r="Q33" i="13" s="1"/>
  <c r="O11" i="16"/>
  <c r="O17" i="16" s="1"/>
  <c r="P17" i="8"/>
  <c r="N18" i="8"/>
  <c r="P18" i="8" s="1"/>
  <c r="M20" i="21"/>
  <c r="M31" i="21" s="1"/>
  <c r="Q14" i="21"/>
  <c r="Q40" i="20"/>
  <c r="O24" i="16"/>
  <c r="Y10" i="21"/>
  <c r="Y19" i="20"/>
  <c r="Y22" i="20" s="1"/>
  <c r="AA22" i="20" s="1"/>
  <c r="Q42" i="10"/>
  <c r="Q45" i="10" s="1"/>
  <c r="U40" i="10"/>
  <c r="U42" i="10" s="1"/>
  <c r="U45" i="10" s="1"/>
  <c r="AA8" i="20"/>
  <c r="P23" i="8"/>
  <c r="N24" i="8"/>
  <c r="P24" i="8" s="1"/>
  <c r="W14" i="21"/>
  <c r="Y31" i="20"/>
  <c r="Y19" i="10"/>
  <c r="Y10" i="14"/>
  <c r="AA8" i="10"/>
  <c r="U14" i="21"/>
  <c r="S46" i="10"/>
  <c r="S48" i="10" s="1"/>
  <c r="S31" i="17" s="1"/>
  <c r="S46" i="9"/>
  <c r="S48" i="9" s="1"/>
  <c r="S31" i="16" s="1"/>
  <c r="Q18" i="14"/>
  <c r="U18" i="14"/>
  <c r="U20" i="14" s="1"/>
  <c r="U31" i="14" s="1"/>
  <c r="Y31" i="9" l="1"/>
  <c r="Y32" i="9" s="1"/>
  <c r="Y13" i="13"/>
  <c r="AA13" i="10"/>
  <c r="W31" i="9"/>
  <c r="W13" i="13"/>
  <c r="AA16" i="9"/>
  <c r="U16" i="13"/>
  <c r="U18" i="13" s="1"/>
  <c r="U20" i="13" s="1"/>
  <c r="U31" i="13" s="1"/>
  <c r="U40" i="9"/>
  <c r="U42" i="9" s="1"/>
  <c r="U45" i="9" s="1"/>
  <c r="U46" i="9" s="1"/>
  <c r="U48" i="9" s="1"/>
  <c r="U31" i="16" s="1"/>
  <c r="AA38" i="9"/>
  <c r="Y35" i="10"/>
  <c r="Y38" i="10" s="1"/>
  <c r="W38" i="10"/>
  <c r="AA35" i="10"/>
  <c r="W13" i="14"/>
  <c r="AA13" i="14" s="1"/>
  <c r="AA16" i="10"/>
  <c r="W38" i="20"/>
  <c r="Y35" i="20"/>
  <c r="Y38" i="20" s="1"/>
  <c r="M33" i="16"/>
  <c r="S16" i="21"/>
  <c r="S18" i="21" s="1"/>
  <c r="S20" i="21" s="1"/>
  <c r="S31" i="21" s="1"/>
  <c r="S40" i="20"/>
  <c r="S42" i="20" s="1"/>
  <c r="S45" i="20" s="1"/>
  <c r="S46" i="20" s="1"/>
  <c r="S48" i="20" s="1"/>
  <c r="S31" i="23" s="1"/>
  <c r="W25" i="20"/>
  <c r="U32" i="20"/>
  <c r="Y16" i="20"/>
  <c r="Y13" i="21" s="1"/>
  <c r="AA13" i="21" s="1"/>
  <c r="AA13" i="20"/>
  <c r="W15" i="16"/>
  <c r="Y15" i="16" s="1"/>
  <c r="C15" i="17" s="1"/>
  <c r="E15" i="17" s="1"/>
  <c r="G15" i="17" s="1"/>
  <c r="I15" i="17" s="1"/>
  <c r="K15" i="17" s="1"/>
  <c r="M15" i="17" s="1"/>
  <c r="O15" i="17" s="1"/>
  <c r="Q15" i="17" s="1"/>
  <c r="S15" i="17" s="1"/>
  <c r="U15" i="17" s="1"/>
  <c r="W15" i="17" s="1"/>
  <c r="Y15" i="17" s="1"/>
  <c r="C15" i="23" s="1"/>
  <c r="E15" i="23" s="1"/>
  <c r="G15" i="23" s="1"/>
  <c r="I15" i="23" s="1"/>
  <c r="K15" i="23" s="1"/>
  <c r="M15" i="23" s="1"/>
  <c r="O15" i="23" s="1"/>
  <c r="Q15" i="23" s="1"/>
  <c r="S15" i="23" s="1"/>
  <c r="U15" i="23" s="1"/>
  <c r="W15" i="23" s="1"/>
  <c r="Y15" i="23" s="1"/>
  <c r="M31" i="23"/>
  <c r="Y16" i="13"/>
  <c r="Q20" i="14"/>
  <c r="Q31" i="14" s="1"/>
  <c r="AA10" i="14"/>
  <c r="Y22" i="10"/>
  <c r="AA19" i="10"/>
  <c r="AA31" i="20"/>
  <c r="U46" i="10"/>
  <c r="U48" i="10" s="1"/>
  <c r="U31" i="17" s="1"/>
  <c r="Q46" i="10"/>
  <c r="Q48" i="10" s="1"/>
  <c r="AA10" i="21"/>
  <c r="Q18" i="21"/>
  <c r="S8" i="13"/>
  <c r="S33" i="13" s="1"/>
  <c r="Q11" i="16"/>
  <c r="Q17" i="16" s="1"/>
  <c r="AA10" i="13"/>
  <c r="Y22" i="9"/>
  <c r="AA19" i="9"/>
  <c r="AA31" i="10"/>
  <c r="Y32" i="10"/>
  <c r="AA19" i="20"/>
  <c r="U30" i="16"/>
  <c r="Y14" i="21"/>
  <c r="Q24" i="16"/>
  <c r="O33" i="16"/>
  <c r="Q42" i="20"/>
  <c r="Q45" i="20" s="1"/>
  <c r="W16" i="14"/>
  <c r="W18" i="14" s="1"/>
  <c r="W20" i="14" s="1"/>
  <c r="W31" i="14" s="1"/>
  <c r="W40" i="10"/>
  <c r="W42" i="10" s="1"/>
  <c r="W45" i="10" s="1"/>
  <c r="W30" i="16" l="1"/>
  <c r="AA16" i="20"/>
  <c r="AA38" i="20"/>
  <c r="AA38" i="10"/>
  <c r="AA13" i="13"/>
  <c r="W32" i="9"/>
  <c r="AA31" i="9"/>
  <c r="AA35" i="20"/>
  <c r="U16" i="21"/>
  <c r="U18" i="21" s="1"/>
  <c r="U20" i="21" s="1"/>
  <c r="U31" i="21" s="1"/>
  <c r="U40" i="20"/>
  <c r="U42" i="20" s="1"/>
  <c r="U45" i="20" s="1"/>
  <c r="Y25" i="20"/>
  <c r="W32" i="20"/>
  <c r="W46" i="10"/>
  <c r="W48" i="10" s="1"/>
  <c r="W31" i="17" s="1"/>
  <c r="Y14" i="13"/>
  <c r="AA22" i="9"/>
  <c r="Y40" i="9"/>
  <c r="U8" i="13"/>
  <c r="U33" i="13" s="1"/>
  <c r="S11" i="16"/>
  <c r="S17" i="16" s="1"/>
  <c r="Q20" i="21"/>
  <c r="Q31" i="21" s="1"/>
  <c r="Y14" i="14"/>
  <c r="AA22" i="10"/>
  <c r="Y40" i="10"/>
  <c r="Q46" i="20"/>
  <c r="Q48" i="20" s="1"/>
  <c r="S24" i="16"/>
  <c r="Q33" i="16"/>
  <c r="Y16" i="14"/>
  <c r="AA16" i="14" s="1"/>
  <c r="AA32" i="10"/>
  <c r="Q31" i="17"/>
  <c r="AA14" i="21"/>
  <c r="W16" i="13" l="1"/>
  <c r="W40" i="9"/>
  <c r="W42" i="9" s="1"/>
  <c r="W45" i="9" s="1"/>
  <c r="W46" i="9" s="1"/>
  <c r="W48" i="9" s="1"/>
  <c r="W31" i="16" s="1"/>
  <c r="Y30" i="16" s="1"/>
  <c r="AA32" i="9"/>
  <c r="AA25" i="20"/>
  <c r="Y32" i="20"/>
  <c r="W16" i="21"/>
  <c r="W18" i="21" s="1"/>
  <c r="W20" i="21" s="1"/>
  <c r="W31" i="21" s="1"/>
  <c r="W40" i="20"/>
  <c r="U46" i="20"/>
  <c r="U48" i="20" s="1"/>
  <c r="Y42" i="9"/>
  <c r="Y45" i="9" s="1"/>
  <c r="AA14" i="13"/>
  <c r="Y18" i="13"/>
  <c r="U24" i="16"/>
  <c r="S33" i="16"/>
  <c r="Q31" i="23"/>
  <c r="AA40" i="10"/>
  <c r="AA42" i="10" s="1"/>
  <c r="AA45" i="10" s="1"/>
  <c r="Y42" i="10"/>
  <c r="Y45" i="10" s="1"/>
  <c r="AA14" i="14"/>
  <c r="Y18" i="14"/>
  <c r="W8" i="13"/>
  <c r="U11" i="16"/>
  <c r="U17" i="16" s="1"/>
  <c r="AA40" i="9" l="1"/>
  <c r="AA42" i="9" s="1"/>
  <c r="AA45" i="9" s="1"/>
  <c r="W18" i="13"/>
  <c r="W20" i="13" s="1"/>
  <c r="W31" i="13" s="1"/>
  <c r="W33" i="13" s="1"/>
  <c r="AA16" i="13"/>
  <c r="U31" i="23"/>
  <c r="W42" i="20"/>
  <c r="W45" i="20" s="1"/>
  <c r="W46" i="20" s="1"/>
  <c r="W48" i="20" s="1"/>
  <c r="W31" i="23" s="1"/>
  <c r="AA32" i="20"/>
  <c r="Y40" i="20"/>
  <c r="Y42" i="20" s="1"/>
  <c r="Y45" i="20" s="1"/>
  <c r="Y46" i="20" s="1"/>
  <c r="Y48" i="20" s="1"/>
  <c r="Y31" i="23" s="1"/>
  <c r="Y16" i="21"/>
  <c r="W24" i="16"/>
  <c r="U33" i="16"/>
  <c r="AA18" i="13"/>
  <c r="AA20" i="13" s="1"/>
  <c r="Y20" i="13"/>
  <c r="Y31" i="13" s="1"/>
  <c r="Y46" i="9"/>
  <c r="AA46" i="9" s="1"/>
  <c r="Y20" i="14"/>
  <c r="Y31" i="14" s="1"/>
  <c r="AA18" i="14"/>
  <c r="AA20" i="14" s="1"/>
  <c r="Y46" i="10"/>
  <c r="AA46" i="10" s="1"/>
  <c r="W11" i="16" l="1"/>
  <c r="W17" i="16" s="1"/>
  <c r="Y8" i="13"/>
  <c r="AA40" i="20"/>
  <c r="AA42" i="20" s="1"/>
  <c r="AA45" i="20" s="1"/>
  <c r="AA46" i="20"/>
  <c r="AA16" i="21"/>
  <c r="Y18" i="21"/>
  <c r="AA48" i="20"/>
  <c r="Y48" i="10"/>
  <c r="AA48" i="10" s="1"/>
  <c r="Y48" i="9"/>
  <c r="AA48" i="9" s="1"/>
  <c r="Y31" i="17"/>
  <c r="C11" i="19"/>
  <c r="AA31" i="14"/>
  <c r="Y31" i="16"/>
  <c r="C30" i="17" s="1"/>
  <c r="E30" i="17" s="1"/>
  <c r="G30" i="17" s="1"/>
  <c r="I30" i="17" s="1"/>
  <c r="K30" i="17" s="1"/>
  <c r="M30" i="17" s="1"/>
  <c r="O30" i="17" s="1"/>
  <c r="Q30" i="17" s="1"/>
  <c r="S30" i="17" s="1"/>
  <c r="U30" i="17" s="1"/>
  <c r="W30" i="17" s="1"/>
  <c r="Y30" i="17" s="1"/>
  <c r="B11" i="19"/>
  <c r="AA31" i="13"/>
  <c r="Y24" i="16"/>
  <c r="W33" i="16"/>
  <c r="Y33" i="13"/>
  <c r="AA18" i="21" l="1"/>
  <c r="AA20" i="21" s="1"/>
  <c r="Y20" i="21"/>
  <c r="Y31" i="21" s="1"/>
  <c r="C30" i="23"/>
  <c r="E30" i="23" s="1"/>
  <c r="G30" i="23" s="1"/>
  <c r="I30" i="23" s="1"/>
  <c r="K30" i="23" s="1"/>
  <c r="M30" i="23" s="1"/>
  <c r="O30" i="23" s="1"/>
  <c r="Q30" i="23" s="1"/>
  <c r="S30" i="23" s="1"/>
  <c r="U30" i="23" s="1"/>
  <c r="W30" i="23" s="1"/>
  <c r="Y30" i="23" s="1"/>
  <c r="C8" i="14"/>
  <c r="C33" i="14" s="1"/>
  <c r="Y11" i="16"/>
  <c r="Y17" i="16" s="1"/>
  <c r="C24" i="17"/>
  <c r="Y33" i="16"/>
  <c r="D11" i="19" l="1"/>
  <c r="AA31" i="21"/>
  <c r="E24" i="17"/>
  <c r="C33" i="17"/>
  <c r="E8" i="14"/>
  <c r="E33" i="14" s="1"/>
  <c r="C11" i="17"/>
  <c r="C17" i="17" s="1"/>
  <c r="G8" i="14" l="1"/>
  <c r="G33" i="14" s="1"/>
  <c r="E11" i="17"/>
  <c r="E17" i="17" s="1"/>
  <c r="G24" i="17"/>
  <c r="E33" i="17"/>
  <c r="I24" i="17" l="1"/>
  <c r="G33" i="17"/>
  <c r="I8" i="14"/>
  <c r="I33" i="14" s="1"/>
  <c r="G11" i="17"/>
  <c r="G17" i="17" s="1"/>
  <c r="K8" i="14" l="1"/>
  <c r="K33" i="14" s="1"/>
  <c r="I11" i="17"/>
  <c r="I17" i="17" s="1"/>
  <c r="K24" i="17"/>
  <c r="I33" i="17"/>
  <c r="M24" i="17" l="1"/>
  <c r="K33" i="17"/>
  <c r="M8" i="14"/>
  <c r="M33" i="14" s="1"/>
  <c r="K11" i="17"/>
  <c r="K17" i="17" s="1"/>
  <c r="O8" i="14" l="1"/>
  <c r="O33" i="14" s="1"/>
  <c r="M11" i="17"/>
  <c r="M17" i="17" s="1"/>
  <c r="O24" i="17"/>
  <c r="M33" i="17"/>
  <c r="Q24" i="17" l="1"/>
  <c r="O33" i="17"/>
  <c r="Q8" i="14"/>
  <c r="Q33" i="14" s="1"/>
  <c r="O11" i="17"/>
  <c r="O17" i="17" s="1"/>
  <c r="S8" i="14" l="1"/>
  <c r="S33" i="14" s="1"/>
  <c r="Q11" i="17"/>
  <c r="Q17" i="17" s="1"/>
  <c r="S24" i="17"/>
  <c r="Q33" i="17"/>
  <c r="U24" i="17" l="1"/>
  <c r="S33" i="17"/>
  <c r="U8" i="14"/>
  <c r="U33" i="14" s="1"/>
  <c r="S11" i="17"/>
  <c r="S17" i="17" s="1"/>
  <c r="W8" i="14" l="1"/>
  <c r="W33" i="14" s="1"/>
  <c r="U11" i="17"/>
  <c r="U17" i="17" s="1"/>
  <c r="W24" i="17"/>
  <c r="U33" i="17"/>
  <c r="Y24" i="17" l="1"/>
  <c r="W33" i="17"/>
  <c r="Y8" i="14"/>
  <c r="Y33" i="14" s="1"/>
  <c r="W11" i="17"/>
  <c r="W17" i="17" s="1"/>
  <c r="C8" i="21" l="1"/>
  <c r="C33" i="21" s="1"/>
  <c r="Y11" i="17"/>
  <c r="Y17" i="17" s="1"/>
  <c r="C24" i="23"/>
  <c r="Y33" i="17"/>
  <c r="E24" i="23" l="1"/>
  <c r="C33" i="23"/>
  <c r="C11" i="23"/>
  <c r="C17" i="23" s="1"/>
  <c r="E8" i="21"/>
  <c r="E33" i="21" s="1"/>
  <c r="G8" i="21" l="1"/>
  <c r="G33" i="21" s="1"/>
  <c r="E11" i="23"/>
  <c r="E17" i="23" s="1"/>
  <c r="G24" i="23"/>
  <c r="E33" i="23"/>
  <c r="I24" i="23" l="1"/>
  <c r="G33" i="23"/>
  <c r="G11" i="23"/>
  <c r="G17" i="23" s="1"/>
  <c r="I8" i="21"/>
  <c r="I33" i="21" s="1"/>
  <c r="K8" i="21" l="1"/>
  <c r="K33" i="21" s="1"/>
  <c r="I11" i="23"/>
  <c r="I17" i="23" s="1"/>
  <c r="K24" i="23"/>
  <c r="I33" i="23"/>
  <c r="M24" i="23" l="1"/>
  <c r="K33" i="23"/>
  <c r="K11" i="23"/>
  <c r="K17" i="23" s="1"/>
  <c r="M8" i="21"/>
  <c r="M33" i="21" s="1"/>
  <c r="O8" i="21" l="1"/>
  <c r="O33" i="21" s="1"/>
  <c r="M11" i="23"/>
  <c r="M17" i="23" s="1"/>
  <c r="O24" i="23"/>
  <c r="M33" i="23"/>
  <c r="Q24" i="23" l="1"/>
  <c r="O33" i="23"/>
  <c r="O11" i="23"/>
  <c r="O17" i="23" s="1"/>
  <c r="Q8" i="21"/>
  <c r="Q33" i="21" s="1"/>
  <c r="S8" i="21" l="1"/>
  <c r="S33" i="21" s="1"/>
  <c r="Q11" i="23"/>
  <c r="Q17" i="23" s="1"/>
  <c r="S24" i="23"/>
  <c r="Q33" i="23"/>
  <c r="U24" i="23" l="1"/>
  <c r="S33" i="23"/>
  <c r="S11" i="23"/>
  <c r="S17" i="23" s="1"/>
  <c r="U8" i="21"/>
  <c r="U33" i="21" s="1"/>
  <c r="W8" i="21" l="1"/>
  <c r="W33" i="21" s="1"/>
  <c r="U11" i="23"/>
  <c r="U17" i="23" s="1"/>
  <c r="W24" i="23"/>
  <c r="U33" i="23"/>
  <c r="Y24" i="23" l="1"/>
  <c r="Y33" i="23" s="1"/>
  <c r="W33" i="23"/>
  <c r="W11" i="23"/>
  <c r="W17" i="23" s="1"/>
  <c r="Y8" i="21"/>
  <c r="Y33" i="21" s="1"/>
  <c r="Y11" i="23" s="1"/>
  <c r="Y17" i="23" s="1"/>
</calcChain>
</file>

<file path=xl/sharedStrings.xml><?xml version="1.0" encoding="utf-8"?>
<sst xmlns="http://schemas.openxmlformats.org/spreadsheetml/2006/main" count="860" uniqueCount="162">
  <si>
    <t>Revenue</t>
  </si>
  <si>
    <t>TOTAL</t>
  </si>
  <si>
    <t>Operating Expenses</t>
  </si>
  <si>
    <t>Net Change in Cash</t>
  </si>
  <si>
    <t>Ending Cash Balance</t>
  </si>
  <si>
    <t>Operating Income</t>
  </si>
  <si>
    <t>6 month license</t>
  </si>
  <si>
    <t>1 year license</t>
  </si>
  <si>
    <t>3 year license</t>
  </si>
  <si>
    <t>permanent license</t>
  </si>
  <si>
    <t>Distributors</t>
  </si>
  <si>
    <t>Year 1</t>
  </si>
  <si>
    <t>May</t>
  </si>
  <si>
    <t>Dec</t>
  </si>
  <si>
    <t>Nov</t>
  </si>
  <si>
    <t>Oct</t>
  </si>
  <si>
    <t>Sep</t>
  </si>
  <si>
    <t>Aug</t>
  </si>
  <si>
    <t>Jul</t>
  </si>
  <si>
    <t>Jun</t>
  </si>
  <si>
    <t>Apr</t>
  </si>
  <si>
    <t>Jan</t>
  </si>
  <si>
    <t>Feb</t>
  </si>
  <si>
    <t>University and Colleges</t>
  </si>
  <si>
    <t># of orders</t>
  </si>
  <si>
    <t>Mar</t>
  </si>
  <si>
    <t>Version 1 updated</t>
  </si>
  <si>
    <t>Version 1</t>
  </si>
  <si>
    <t>Version 2</t>
  </si>
  <si>
    <r>
      <t xml:space="preserve">EVALUATOR PLUS </t>
    </r>
    <r>
      <rPr>
        <b/>
        <i/>
        <sz val="10"/>
        <rFont val="Arial"/>
        <family val="2"/>
      </rPr>
      <t>Sales Projections</t>
    </r>
  </si>
  <si>
    <t>Exibit 1</t>
  </si>
  <si>
    <t>Exibit 1 (continued)</t>
  </si>
  <si>
    <t>Sales Distributors</t>
  </si>
  <si>
    <t>Sales University/College</t>
  </si>
  <si>
    <t>OPERATING EXPENSES</t>
  </si>
  <si>
    <t>Office Rent (per month)</t>
  </si>
  <si>
    <t>Salesperson</t>
  </si>
  <si>
    <t>Office Furniture</t>
  </si>
  <si>
    <t>Computer Equipment</t>
  </si>
  <si>
    <t>Office Supplies</t>
  </si>
  <si>
    <t>Travel Expenses (Road Shows)</t>
  </si>
  <si>
    <t>General and Administrativ</t>
  </si>
  <si>
    <t>Telephone/Internet</t>
  </si>
  <si>
    <t>Legal Counseling</t>
  </si>
  <si>
    <t>Depreciation and Amortisation</t>
  </si>
  <si>
    <t>Computer/Server</t>
  </si>
  <si>
    <t>Insurance</t>
  </si>
  <si>
    <t>Total</t>
  </si>
  <si>
    <t>Payroll Taxes and Employee Benefits</t>
  </si>
  <si>
    <t>Expenses for Online-Marketing</t>
  </si>
  <si>
    <t>Salaries</t>
  </si>
  <si>
    <t>Total Operating Expenses</t>
  </si>
  <si>
    <t>Net Income (-Loss)</t>
  </si>
  <si>
    <t>Exibit 2</t>
  </si>
  <si>
    <t>Exibit 2 (continued)</t>
  </si>
  <si>
    <t>Audit Fee</t>
  </si>
  <si>
    <t xml:space="preserve">Source Code </t>
  </si>
  <si>
    <t>Source Code Sharing</t>
  </si>
  <si>
    <t>Jun-Aug</t>
  </si>
  <si>
    <t>Sep-Nov</t>
  </si>
  <si>
    <t>Dec-Feb</t>
  </si>
  <si>
    <t>Mar-May</t>
  </si>
  <si>
    <t>Source Code</t>
  </si>
  <si>
    <t>Technician/Programmer</t>
  </si>
  <si>
    <t>Secretary (CRM)</t>
  </si>
  <si>
    <t>Cash Receipts from Sales</t>
  </si>
  <si>
    <t>Distribution/Marketing</t>
  </si>
  <si>
    <t>Cash Payments for Operating Expenses</t>
  </si>
  <si>
    <t>Month</t>
  </si>
  <si>
    <t>Year</t>
  </si>
  <si>
    <t>Net Cash Flow from Operating Activities</t>
  </si>
  <si>
    <t>Cash Payments for Purchase of Fixed Assets</t>
  </si>
  <si>
    <t>Initial Capitalization</t>
  </si>
  <si>
    <t>Capitalization Founder</t>
  </si>
  <si>
    <t>Cash Receipts from Investors</t>
  </si>
  <si>
    <t>Cash Receipts from Financing Activities</t>
  </si>
  <si>
    <t>Opening Cash Balance</t>
  </si>
  <si>
    <t>Less: Accrued Interest Expenses</t>
  </si>
  <si>
    <t>Interest Expenses</t>
  </si>
  <si>
    <t>Bank Loan</t>
  </si>
  <si>
    <t>Interest Rate</t>
  </si>
  <si>
    <t>Exibit 3</t>
  </si>
  <si>
    <t>Cells can be selected and changed</t>
  </si>
  <si>
    <t>Sales</t>
  </si>
  <si>
    <t>% Commission</t>
  </si>
  <si>
    <t>% Sales</t>
  </si>
  <si>
    <t>Office Rent</t>
  </si>
  <si>
    <t>Price (Cash)</t>
  </si>
  <si>
    <t>Years of depreciation</t>
  </si>
  <si>
    <t>Year 2</t>
  </si>
  <si>
    <t>Year 3</t>
  </si>
  <si>
    <t>% Benfits of Total Salaries</t>
  </si>
  <si>
    <t>Assumptions:</t>
  </si>
  <si>
    <t>FINANCING ACTIVITIES</t>
  </si>
  <si>
    <t>Financing round beginning of the year</t>
  </si>
  <si>
    <t>Total Assets</t>
  </si>
  <si>
    <t>Assets</t>
  </si>
  <si>
    <t>Liabilities and Stockholders' Equity</t>
  </si>
  <si>
    <t>Total Liabilities and Stockholders' Equity</t>
  </si>
  <si>
    <t>Earnings before Tax</t>
  </si>
  <si>
    <t>Provision for Income Tax</t>
  </si>
  <si>
    <t>Tax Rate</t>
  </si>
  <si>
    <t>Tax Expenses</t>
  </si>
  <si>
    <t>in %</t>
  </si>
  <si>
    <t>Exibit 4</t>
  </si>
  <si>
    <t>Exibit 4 (continued)</t>
  </si>
  <si>
    <t>Exibit 3 (continued)</t>
  </si>
  <si>
    <t>FY01</t>
  </si>
  <si>
    <t>FY02</t>
  </si>
  <si>
    <t>FY03</t>
  </si>
  <si>
    <t>FY04</t>
  </si>
  <si>
    <t>Fees for Source Code Sharing</t>
  </si>
  <si>
    <t>Source Code sold</t>
  </si>
  <si>
    <t>REVENUE DRIVERS</t>
  </si>
  <si>
    <t>Revenues from Source Code Sharing</t>
  </si>
  <si>
    <t>Increase Pricing of Licenses</t>
  </si>
  <si>
    <t>EXPENSE DRIVERS</t>
  </si>
  <si>
    <t>Employee Benefits</t>
  </si>
  <si>
    <t>Net Staff Salaries</t>
  </si>
  <si>
    <t>Distribution / Marketing Expenses</t>
  </si>
  <si>
    <t>Commission Salesperson</t>
  </si>
  <si>
    <t>Amortisation after x years</t>
  </si>
  <si>
    <t>Price (Cash Amount)</t>
  </si>
  <si>
    <t>Maturity (in years)</t>
  </si>
  <si>
    <t>NET</t>
  </si>
  <si>
    <r>
      <t>Employee Benefits</t>
    </r>
    <r>
      <rPr>
        <sz val="12"/>
        <color indexed="10"/>
        <rFont val="Times New Roman"/>
        <family val="1"/>
      </rPr>
      <t xml:space="preserve"> (% of Total Salaries)</t>
    </r>
  </si>
  <si>
    <t>NET INCOME</t>
  </si>
  <si>
    <t>Tax Payable</t>
  </si>
  <si>
    <t>EARNINGS BEFORE TAX</t>
  </si>
  <si>
    <t>REVENUES (in Rand Afrikaans)</t>
  </si>
  <si>
    <t>EXPENSES (in Rand Afrikaans)</t>
  </si>
  <si>
    <t>Fixed Assets (in Rand Afrikaans)</t>
  </si>
  <si>
    <t>Long-term Note (in Rand Afrikaans)</t>
  </si>
  <si>
    <t>License Fees (in Rand Afrikaans)</t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</si>
  <si>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2008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</si>
  <si>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2007</t>
    </r>
  </si>
  <si>
    <r>
      <t xml:space="preserve">EVALUATOR PLUS </t>
    </r>
    <r>
      <rPr>
        <b/>
        <i/>
        <sz val="8"/>
        <rFont val="Arial"/>
        <family val="2"/>
      </rPr>
      <t>Forecasted Balance Sheet;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</si>
  <si>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2008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</si>
  <si>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</si>
  <si>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ProjectedCash Flow Statement; End of Financial Year: 31. May 2007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</si>
  <si>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2009</t>
    </r>
  </si>
  <si>
    <r>
      <t xml:space="preserve">EVALUATOR PLUS </t>
    </r>
    <r>
      <rPr>
        <b/>
        <i/>
        <sz val="8"/>
        <rFont val="Arial"/>
        <family val="2"/>
      </rPr>
      <t>Projected Income Statement; End of Financial Year: 31. May 2007</t>
    </r>
  </si>
  <si>
    <t>Revenues</t>
  </si>
  <si>
    <t>Expenses</t>
  </si>
  <si>
    <t>DASHBOARD</t>
  </si>
  <si>
    <t>Worksheet is protected, framed cells can be selected and changed</t>
  </si>
  <si>
    <r>
      <t xml:space="preserve">(to use drop-down menues,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</si>
  <si>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r>
      <t xml:space="preserve">(to allow entries in all cells, unlock worksheet; </t>
    </r>
    <r>
      <rPr>
        <sz val="12"/>
        <rFont val="Times New Roman"/>
        <family val="1"/>
      </rPr>
      <t>PASSWORD: "Evaluator"</t>
    </r>
    <r>
      <rPr>
        <i/>
        <sz val="12"/>
        <rFont val="Times New Roman"/>
        <family val="1"/>
      </rPr>
      <t>)</t>
    </r>
  </si>
  <si>
    <t>EBIT</t>
  </si>
  <si>
    <t>Net Income</t>
  </si>
  <si>
    <t>Licenses sold to Consultants</t>
  </si>
  <si>
    <t>Revenues from Consultants</t>
  </si>
  <si>
    <t>License Fees for Consultants (10% discount)</t>
  </si>
  <si>
    <t>Colleges</t>
  </si>
  <si>
    <t>Consultants</t>
  </si>
  <si>
    <t>Revenues from Colleges</t>
  </si>
  <si>
    <t>Licenses sold to Colleges</t>
  </si>
  <si>
    <t>License Fees for Colleges</t>
  </si>
  <si>
    <t>Sales Colleges</t>
  </si>
  <si>
    <t>Sales Consultants</t>
  </si>
  <si>
    <t>To unlock worksheet: Tools - Protection - Unlock Worksheet</t>
  </si>
  <si>
    <t>Evaluator Plus Four-Year Financial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</si>
</sst>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_ [$R-436]\ * #,##0.00_ ;_ [$R-436]\ * \-#,##0.00_ ;_ [$R-436]\ * &quot;-&quot;??_ ;_ @_ "/>
    <numFmt numFmtId="165" formatCode="_ [$R-436]\ * #,##0_ ;_ [$R-436]\ * \-#,##0_ ;_ [$R-436]\ * &quot;-&quot;_ ;_ @_ "/>
    <numFmt numFmtId="166" formatCode="0.0000%"/>
    <numFmt numFmtId="167" formatCode="0.00000%"/>
    <numFmt numFmtId="168" formatCode="_ [$R-436]\ * #,##0_ ;_ [$R-436]\ * \-#,##0_ ;_ [$R-436]\ * &quot;-&quot;??_ ;_ @_ "/>
    <numFmt numFmtId="169" formatCode="_(* #,##0_);_(* \(#,##0\);_(* &quot;-&quot;??_);_(@_)"/>
    <numFmt numFmtId="170" formatCode="_(* #,##0.0000_);_(* \(#,##0.0000\);_(* &quot;-&quot;??_);_(@_)"/>
    <numFmt numFmtId="171" formatCode="0&quot;%&quot;"/>
    <numFmt numFmtId="172" formatCode="_(* #,##0.00000000000_);_(* \(#,##0.00000000000\);_(* &quot;-&quot;??_);_(@_)"/>
  </numFmts>
  <fonts count="3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u/>
      <sz val="8"/>
      <name val="Arial"/>
      <family val="2"/>
    </font>
    <font>
      <i/>
      <sz val="8"/>
      <name val="Arial"/>
      <family val="2"/>
    </font>
    <font>
      <u val="singleAccounting"/>
      <sz val="10"/>
      <name val="Arial"/>
      <family val="2"/>
    </font>
    <font>
      <b/>
      <u/>
      <sz val="10"/>
      <name val="Arial"/>
      <family val="2"/>
    </font>
    <font>
      <b/>
      <u val="singleAccounting"/>
      <sz val="10"/>
      <name val="Arial"/>
      <family val="2"/>
    </font>
    <font>
      <u val="singleAccounting"/>
      <sz val="8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u val="doubleAccounting"/>
      <sz val="8"/>
      <name val="Arial"/>
      <family val="2"/>
    </font>
    <font>
      <sz val="8"/>
      <name val="Arial"/>
      <family val="2"/>
    </font>
    <font>
      <b/>
      <u val="doubleAccounting"/>
      <sz val="8"/>
      <name val="Arial"/>
      <family val="2"/>
    </font>
    <font>
      <b/>
      <i/>
      <sz val="8"/>
      <name val="Arial"/>
      <family val="2"/>
    </font>
    <font>
      <u val="doubleAccounting"/>
      <sz val="10"/>
      <name val="Arial"/>
      <family val="2"/>
    </font>
    <font>
      <sz val="10"/>
      <name val="Arial"/>
      <family val="2"/>
    </font>
    <font>
      <sz val="1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12"/>
      <color indexed="12"/>
      <name val="Times New Roman"/>
      <family val="1"/>
    </font>
    <font>
      <sz val="12"/>
      <color indexed="10"/>
      <name val="Times New Roman"/>
      <family val="1"/>
    </font>
    <font>
      <u val="singleAccounting"/>
      <sz val="12"/>
      <name val="Times New Roman"/>
      <family val="1"/>
    </font>
    <font>
      <u/>
      <sz val="12"/>
      <name val="Times New Roman"/>
      <family val="1"/>
    </font>
    <font>
      <b/>
      <sz val="12"/>
      <color indexed="8"/>
      <name val="Times New Roman"/>
      <family val="1"/>
    </font>
    <font>
      <u val="doubleAccounting"/>
      <sz val="12"/>
      <name val="Times New Roman"/>
      <family val="1"/>
    </font>
    <font>
      <b/>
      <sz val="12"/>
      <color indexed="50"/>
      <name val="Times New Roman"/>
      <family val="1"/>
    </font>
    <font>
      <sz val="12"/>
      <color indexed="50"/>
      <name val="Times New Roman"/>
      <family val="1"/>
    </font>
    <font>
      <i/>
      <sz val="12"/>
      <color indexed="50"/>
      <name val="Times New Roman"/>
      <family val="1"/>
    </font>
    <font>
      <b/>
      <sz val="12"/>
      <color indexed="10"/>
      <name val="Times New Roman"/>
      <family val="1"/>
    </font>
    <font>
      <sz val="12"/>
      <color indexed="9"/>
      <name val="Times New Roman"/>
      <family val="1"/>
    </font>
    <font>
      <i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50"/>
      </left>
      <right style="medium">
        <color indexed="50"/>
      </right>
      <top style="medium">
        <color indexed="50"/>
      </top>
      <bottom style="medium">
        <color indexed="50"/>
      </bottom>
      <diagonal/>
    </border>
    <border>
      <left style="medium">
        <color indexed="50"/>
      </left>
      <right style="medium">
        <color indexed="50"/>
      </right>
      <top style="medium">
        <color indexed="50"/>
      </top>
      <bottom/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/>
      <diagonal/>
    </border>
    <border>
      <left style="medium">
        <color indexed="10"/>
      </left>
      <right style="medium">
        <color indexed="10"/>
      </right>
      <top style="slantDashDot">
        <color indexed="10"/>
      </top>
      <bottom style="medium">
        <color indexed="1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3" fontId="23" fillId="0" borderId="0" applyFont="0" applyFill="0" applyBorder="0" applyAlignment="0" applyProtection="0"/>
    <xf numFmtId="0" fontId="23" fillId="0" borderId="0"/>
    <xf numFmtId="9" fontId="1" fillId="0" borderId="0" applyFont="0" applyFill="0" applyBorder="0" applyAlignment="0" applyProtection="0"/>
  </cellStyleXfs>
  <cellXfs count="212">
    <xf numFmtId="0" fontId="0" fillId="0" borderId="0" xfId="0"/>
    <xf numFmtId="0" fontId="2" fillId="0" borderId="0" xfId="0" applyFont="1"/>
    <xf numFmtId="0" fontId="0" fillId="0" borderId="0" xfId="0" applyBorder="1"/>
    <xf numFmtId="0" fontId="2" fillId="0" borderId="0" xfId="0" applyFont="1" applyBorder="1"/>
    <xf numFmtId="164" fontId="0" fillId="0" borderId="0" xfId="0" applyNumberFormat="1" applyBorder="1"/>
    <xf numFmtId="0" fontId="0" fillId="0" borderId="0" xfId="0" applyFill="1" applyBorder="1"/>
    <xf numFmtId="0" fontId="6" fillId="0" borderId="0" xfId="0" applyFont="1"/>
    <xf numFmtId="0" fontId="7" fillId="0" borderId="0" xfId="0" applyFont="1"/>
    <xf numFmtId="164" fontId="3" fillId="0" borderId="0" xfId="0" applyNumberFormat="1" applyFont="1" applyBorder="1"/>
    <xf numFmtId="0" fontId="3" fillId="0" borderId="0" xfId="0" applyFont="1"/>
    <xf numFmtId="0" fontId="8" fillId="0" borderId="0" xfId="0" applyFont="1" applyBorder="1" applyAlignment="1">
      <alignment horizontal="center"/>
    </xf>
    <xf numFmtId="164" fontId="3" fillId="0" borderId="1" xfId="0" applyNumberFormat="1" applyFont="1" applyBorder="1"/>
    <xf numFmtId="0" fontId="0" fillId="0" borderId="2" xfId="0" applyBorder="1"/>
    <xf numFmtId="0" fontId="3" fillId="0" borderId="0" xfId="0" applyFont="1" applyBorder="1"/>
    <xf numFmtId="0" fontId="8" fillId="0" borderId="2" xfId="0" applyFont="1" applyBorder="1" applyAlignment="1">
      <alignment horizontal="center"/>
    </xf>
    <xf numFmtId="0" fontId="3" fillId="0" borderId="2" xfId="0" applyFont="1" applyBorder="1"/>
    <xf numFmtId="0" fontId="9" fillId="0" borderId="1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2" fillId="0" borderId="3" xfId="0" applyFont="1" applyBorder="1"/>
    <xf numFmtId="0" fontId="4" fillId="0" borderId="0" xfId="0" applyFont="1"/>
    <xf numFmtId="0" fontId="11" fillId="0" borderId="0" xfId="0" applyFont="1" applyAlignment="1">
      <alignment horizontal="center"/>
    </xf>
    <xf numFmtId="0" fontId="0" fillId="0" borderId="3" xfId="0" applyBorder="1"/>
    <xf numFmtId="164" fontId="0" fillId="0" borderId="0" xfId="0" applyNumberFormat="1"/>
    <xf numFmtId="164" fontId="0" fillId="0" borderId="0" xfId="0" applyNumberFormat="1" applyFill="1" applyBorder="1"/>
    <xf numFmtId="0" fontId="14" fillId="0" borderId="0" xfId="0" applyFont="1"/>
    <xf numFmtId="0" fontId="15" fillId="0" borderId="3" xfId="0" applyFont="1" applyBorder="1"/>
    <xf numFmtId="0" fontId="15" fillId="0" borderId="0" xfId="0" applyFont="1" applyAlignment="1">
      <alignment horizontal="center"/>
    </xf>
    <xf numFmtId="165" fontId="3" fillId="0" borderId="0" xfId="0" applyNumberFormat="1" applyFont="1" applyBorder="1"/>
    <xf numFmtId="165" fontId="3" fillId="0" borderId="4" xfId="0" applyNumberFormat="1" applyFont="1" applyBorder="1"/>
    <xf numFmtId="165" fontId="13" fillId="0" borderId="0" xfId="0" applyNumberFormat="1" applyFont="1" applyBorder="1"/>
    <xf numFmtId="165" fontId="17" fillId="0" borderId="0" xfId="0" applyNumberFormat="1" applyFont="1" applyBorder="1"/>
    <xf numFmtId="0" fontId="15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164" fontId="12" fillId="0" borderId="0" xfId="0" applyNumberFormat="1" applyFont="1" applyBorder="1"/>
    <xf numFmtId="0" fontId="18" fillId="0" borderId="0" xfId="0" applyFont="1"/>
    <xf numFmtId="0" fontId="9" fillId="0" borderId="0" xfId="0" applyFont="1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164" fontId="12" fillId="0" borderId="5" xfId="0" applyNumberFormat="1" applyFont="1" applyBorder="1"/>
    <xf numFmtId="164" fontId="12" fillId="0" borderId="7" xfId="0" applyNumberFormat="1" applyFont="1" applyBorder="1"/>
    <xf numFmtId="0" fontId="7" fillId="0" borderId="0" xfId="0" applyFont="1" applyBorder="1"/>
    <xf numFmtId="165" fontId="19" fillId="0" borderId="0" xfId="0" applyNumberFormat="1" applyFont="1" applyBorder="1"/>
    <xf numFmtId="164" fontId="10" fillId="0" borderId="0" xfId="0" applyNumberFormat="1" applyFont="1" applyBorder="1"/>
    <xf numFmtId="9" fontId="0" fillId="0" borderId="0" xfId="0" applyNumberFormat="1"/>
    <xf numFmtId="0" fontId="0" fillId="0" borderId="0" xfId="0" applyAlignment="1">
      <alignment horizontal="center"/>
    </xf>
    <xf numFmtId="164" fontId="12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8" fillId="0" borderId="0" xfId="0" applyNumberFormat="1" applyFont="1" applyFill="1" applyBorder="1"/>
    <xf numFmtId="0" fontId="18" fillId="0" borderId="0" xfId="0" applyFont="1" applyFill="1" applyBorder="1"/>
    <xf numFmtId="165" fontId="17" fillId="0" borderId="0" xfId="0" applyNumberFormat="1" applyFont="1"/>
    <xf numFmtId="0" fontId="2" fillId="0" borderId="0" xfId="0" applyFont="1" applyFill="1" applyBorder="1"/>
    <xf numFmtId="0" fontId="7" fillId="0" borderId="0" xfId="0" applyFont="1" applyFill="1" applyBorder="1"/>
    <xf numFmtId="0" fontId="20" fillId="0" borderId="0" xfId="0" applyFont="1" applyFill="1" applyBorder="1"/>
    <xf numFmtId="0" fontId="7" fillId="0" borderId="4" xfId="0" applyFont="1" applyFill="1" applyBorder="1"/>
    <xf numFmtId="0" fontId="18" fillId="0" borderId="4" xfId="0" applyFont="1" applyFill="1" applyBorder="1"/>
    <xf numFmtId="0" fontId="18" fillId="0" borderId="8" xfId="0" applyFont="1" applyFill="1" applyBorder="1"/>
    <xf numFmtId="0" fontId="1" fillId="0" borderId="0" xfId="0" applyFont="1"/>
    <xf numFmtId="0" fontId="18" fillId="0" borderId="8" xfId="0" applyFont="1" applyFill="1" applyBorder="1" applyProtection="1"/>
    <xf numFmtId="164" fontId="18" fillId="0" borderId="9" xfId="0" applyNumberFormat="1" applyFont="1" applyFill="1" applyBorder="1" applyProtection="1"/>
    <xf numFmtId="0" fontId="18" fillId="0" borderId="0" xfId="0" applyFont="1" applyFill="1" applyBorder="1" applyProtection="1"/>
    <xf numFmtId="0" fontId="18" fillId="0" borderId="10" xfId="0" applyFont="1" applyFill="1" applyBorder="1" applyProtection="1"/>
    <xf numFmtId="164" fontId="18" fillId="0" borderId="11" xfId="0" applyNumberFormat="1" applyFont="1" applyFill="1" applyBorder="1" applyProtection="1"/>
    <xf numFmtId="0" fontId="18" fillId="0" borderId="4" xfId="0" applyFont="1" applyFill="1" applyBorder="1" applyProtection="1"/>
    <xf numFmtId="0" fontId="18" fillId="0" borderId="9" xfId="0" applyFont="1" applyFill="1" applyBorder="1" applyProtection="1"/>
    <xf numFmtId="0" fontId="7" fillId="0" borderId="11" xfId="0" applyFont="1" applyFill="1" applyBorder="1" applyProtection="1"/>
    <xf numFmtId="0" fontId="9" fillId="0" borderId="0" xfId="0" applyFont="1" applyFill="1" applyBorder="1" applyProtection="1"/>
    <xf numFmtId="0" fontId="9" fillId="0" borderId="4" xfId="0" applyFont="1" applyFill="1" applyBorder="1" applyProtection="1"/>
    <xf numFmtId="164" fontId="7" fillId="0" borderId="11" xfId="0" applyNumberFormat="1" applyFont="1" applyFill="1" applyBorder="1" applyProtection="1"/>
    <xf numFmtId="0" fontId="7" fillId="0" borderId="4" xfId="0" applyFont="1" applyFill="1" applyBorder="1" applyProtection="1"/>
    <xf numFmtId="0" fontId="3" fillId="0" borderId="0" xfId="0" applyFont="1" applyFill="1"/>
    <xf numFmtId="9" fontId="18" fillId="0" borderId="0" xfId="0" applyNumberFormat="1" applyFont="1" applyFill="1" applyBorder="1" applyProtection="1"/>
    <xf numFmtId="164" fontId="18" fillId="0" borderId="12" xfId="0" applyNumberFormat="1" applyFont="1" applyFill="1" applyBorder="1" applyProtection="1"/>
    <xf numFmtId="0" fontId="18" fillId="0" borderId="13" xfId="0" applyFont="1" applyFill="1" applyBorder="1" applyProtection="1"/>
    <xf numFmtId="0" fontId="7" fillId="0" borderId="9" xfId="0" applyFont="1" applyFill="1" applyBorder="1"/>
    <xf numFmtId="0" fontId="18" fillId="0" borderId="14" xfId="0" applyFont="1" applyFill="1" applyBorder="1" applyProtection="1"/>
    <xf numFmtId="164" fontId="18" fillId="0" borderId="15" xfId="0" applyNumberFormat="1" applyFont="1" applyFill="1" applyBorder="1" applyProtection="1"/>
    <xf numFmtId="0" fontId="18" fillId="0" borderId="16" xfId="0" applyFont="1" applyFill="1" applyBorder="1" applyProtection="1"/>
    <xf numFmtId="0" fontId="18" fillId="0" borderId="17" xfId="0" applyFont="1" applyFill="1" applyBorder="1" applyProtection="1"/>
    <xf numFmtId="0" fontId="18" fillId="0" borderId="18" xfId="0" applyFont="1" applyFill="1" applyBorder="1" applyProtection="1"/>
    <xf numFmtId="164" fontId="18" fillId="0" borderId="17" xfId="0" applyNumberFormat="1" applyFont="1" applyFill="1" applyBorder="1" applyProtection="1"/>
    <xf numFmtId="164" fontId="18" fillId="0" borderId="18" xfId="0" applyNumberFormat="1" applyFont="1" applyFill="1" applyBorder="1" applyProtection="1"/>
    <xf numFmtId="164" fontId="7" fillId="0" borderId="18" xfId="0" applyNumberFormat="1" applyFont="1" applyFill="1" applyBorder="1" applyProtection="1"/>
    <xf numFmtId="164" fontId="18" fillId="0" borderId="19" xfId="0" applyNumberFormat="1" applyFont="1" applyFill="1" applyBorder="1" applyProtection="1"/>
    <xf numFmtId="164" fontId="18" fillId="0" borderId="20" xfId="0" applyNumberFormat="1" applyFont="1" applyFill="1" applyBorder="1" applyProtection="1"/>
    <xf numFmtId="164" fontId="18" fillId="0" borderId="21" xfId="0" applyNumberFormat="1" applyFont="1" applyFill="1" applyBorder="1" applyProtection="1"/>
    <xf numFmtId="0" fontId="15" fillId="0" borderId="0" xfId="0" applyFont="1"/>
    <xf numFmtId="168" fontId="0" fillId="0" borderId="0" xfId="0" applyNumberFormat="1"/>
    <xf numFmtId="168" fontId="21" fillId="0" borderId="0" xfId="0" applyNumberFormat="1" applyFont="1"/>
    <xf numFmtId="164" fontId="10" fillId="0" borderId="0" xfId="0" applyNumberFormat="1" applyFont="1"/>
    <xf numFmtId="0" fontId="10" fillId="0" borderId="0" xfId="0" applyFont="1"/>
    <xf numFmtId="164" fontId="22" fillId="0" borderId="0" xfId="0" applyNumberFormat="1" applyFont="1" applyBorder="1"/>
    <xf numFmtId="2" fontId="3" fillId="0" borderId="1" xfId="0" applyNumberFormat="1" applyFont="1" applyBorder="1"/>
    <xf numFmtId="2" fontId="3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2" fontId="0" fillId="0" borderId="0" xfId="0" applyNumberFormat="1" applyBorder="1"/>
    <xf numFmtId="2" fontId="9" fillId="0" borderId="0" xfId="0" applyNumberFormat="1" applyFont="1" applyBorder="1"/>
    <xf numFmtId="0" fontId="24" fillId="0" borderId="0" xfId="2" applyFont="1"/>
    <xf numFmtId="0" fontId="25" fillId="0" borderId="0" xfId="2" applyFont="1"/>
    <xf numFmtId="0" fontId="24" fillId="0" borderId="4" xfId="2" applyFont="1" applyBorder="1" applyAlignment="1">
      <alignment horizontal="center"/>
    </xf>
    <xf numFmtId="9" fontId="25" fillId="0" borderId="0" xfId="2" applyNumberFormat="1" applyFont="1" applyBorder="1" applyAlignment="1">
      <alignment horizontal="center"/>
    </xf>
    <xf numFmtId="1" fontId="25" fillId="0" borderId="0" xfId="2" applyNumberFormat="1" applyFont="1" applyBorder="1" applyAlignment="1">
      <alignment horizontal="center"/>
    </xf>
    <xf numFmtId="9" fontId="25" fillId="0" borderId="4" xfId="2" applyNumberFormat="1" applyFont="1" applyBorder="1" applyAlignment="1">
      <alignment horizontal="center"/>
    </xf>
    <xf numFmtId="9" fontId="25" fillId="0" borderId="0" xfId="2" applyNumberFormat="1" applyFont="1" applyAlignment="1">
      <alignment horizontal="center"/>
    </xf>
    <xf numFmtId="0" fontId="26" fillId="0" borderId="0" xfId="2" applyFont="1"/>
    <xf numFmtId="0" fontId="26" fillId="0" borderId="0" xfId="2" applyFont="1" applyAlignment="1">
      <alignment horizontal="center"/>
    </xf>
    <xf numFmtId="9" fontId="25" fillId="0" borderId="0" xfId="3" applyFont="1" applyAlignment="1">
      <alignment horizontal="center"/>
    </xf>
    <xf numFmtId="0" fontId="27" fillId="0" borderId="4" xfId="2" applyFont="1" applyBorder="1"/>
    <xf numFmtId="169" fontId="25" fillId="0" borderId="0" xfId="1" applyNumberFormat="1" applyFont="1"/>
    <xf numFmtId="0" fontId="25" fillId="0" borderId="0" xfId="2" applyFont="1" applyAlignment="1">
      <alignment horizontal="left"/>
    </xf>
    <xf numFmtId="169" fontId="25" fillId="0" borderId="0" xfId="1" applyNumberFormat="1" applyFont="1" applyBorder="1"/>
    <xf numFmtId="0" fontId="24" fillId="0" borderId="0" xfId="2" applyFont="1" applyBorder="1" applyAlignment="1">
      <alignment horizontal="left"/>
    </xf>
    <xf numFmtId="0" fontId="24" fillId="0" borderId="0" xfId="2" applyFont="1" applyBorder="1"/>
    <xf numFmtId="169" fontId="25" fillId="0" borderId="0" xfId="2" applyNumberFormat="1" applyFont="1"/>
    <xf numFmtId="0" fontId="25" fillId="0" borderId="0" xfId="2" applyFont="1" applyBorder="1"/>
    <xf numFmtId="9" fontId="25" fillId="0" borderId="0" xfId="3" applyFont="1"/>
    <xf numFmtId="0" fontId="25" fillId="0" borderId="0" xfId="2" applyFont="1" applyBorder="1" applyAlignment="1">
      <alignment horizontal="center"/>
    </xf>
    <xf numFmtId="1" fontId="25" fillId="0" borderId="0" xfId="2" applyNumberFormat="1" applyFont="1" applyAlignment="1">
      <alignment horizontal="center"/>
    </xf>
    <xf numFmtId="0" fontId="24" fillId="0" borderId="0" xfId="2" applyFont="1" applyBorder="1" applyAlignment="1">
      <alignment horizontal="center"/>
    </xf>
    <xf numFmtId="169" fontId="28" fillId="0" borderId="0" xfId="1" applyNumberFormat="1" applyFont="1" applyAlignment="1">
      <alignment horizontal="right"/>
    </xf>
    <xf numFmtId="1" fontId="25" fillId="0" borderId="0" xfId="2" applyNumberFormat="1" applyFont="1"/>
    <xf numFmtId="1" fontId="25" fillId="0" borderId="0" xfId="1" applyNumberFormat="1" applyFont="1" applyBorder="1"/>
    <xf numFmtId="169" fontId="28" fillId="0" borderId="0" xfId="2" applyNumberFormat="1" applyFont="1" applyAlignment="1">
      <alignment horizontal="center"/>
    </xf>
    <xf numFmtId="9" fontId="29" fillId="0" borderId="0" xfId="2" applyNumberFormat="1" applyFont="1" applyAlignment="1">
      <alignment horizontal="center"/>
    </xf>
    <xf numFmtId="169" fontId="28" fillId="0" borderId="0" xfId="1" applyNumberFormat="1" applyFont="1"/>
    <xf numFmtId="169" fontId="28" fillId="0" borderId="0" xfId="1" applyNumberFormat="1" applyFont="1" applyBorder="1"/>
    <xf numFmtId="10" fontId="25" fillId="0" borderId="0" xfId="2" applyNumberFormat="1" applyFont="1"/>
    <xf numFmtId="0" fontId="30" fillId="0" borderId="0" xfId="2" applyFont="1"/>
    <xf numFmtId="0" fontId="29" fillId="0" borderId="0" xfId="2" applyFont="1" applyAlignment="1">
      <alignment horizontal="center"/>
    </xf>
    <xf numFmtId="169" fontId="31" fillId="0" borderId="0" xfId="1" applyNumberFormat="1" applyFont="1" applyBorder="1" applyAlignment="1"/>
    <xf numFmtId="169" fontId="31" fillId="0" borderId="0" xfId="1" applyNumberFormat="1" applyFont="1"/>
    <xf numFmtId="0" fontId="27" fillId="0" borderId="0" xfId="2" applyFont="1" applyBorder="1"/>
    <xf numFmtId="0" fontId="32" fillId="0" borderId="0" xfId="2" applyFont="1"/>
    <xf numFmtId="0" fontId="33" fillId="0" borderId="0" xfId="2" applyFont="1" applyBorder="1"/>
    <xf numFmtId="0" fontId="32" fillId="0" borderId="0" xfId="2" applyFont="1" applyBorder="1"/>
    <xf numFmtId="0" fontId="34" fillId="0" borderId="0" xfId="2" applyFont="1" applyBorder="1"/>
    <xf numFmtId="0" fontId="33" fillId="0" borderId="0" xfId="2" applyFont="1"/>
    <xf numFmtId="0" fontId="33" fillId="0" borderId="0" xfId="2" applyFont="1" applyAlignment="1">
      <alignment horizontal="left"/>
    </xf>
    <xf numFmtId="0" fontId="35" fillId="0" borderId="0" xfId="2" applyFont="1"/>
    <xf numFmtId="0" fontId="27" fillId="0" borderId="0" xfId="2" applyFont="1" applyAlignment="1">
      <alignment horizontal="left"/>
    </xf>
    <xf numFmtId="169" fontId="31" fillId="0" borderId="0" xfId="2" applyNumberFormat="1" applyFont="1"/>
    <xf numFmtId="9" fontId="36" fillId="0" borderId="0" xfId="2" applyNumberFormat="1" applyFont="1" applyBorder="1" applyAlignment="1">
      <alignment horizontal="center"/>
    </xf>
    <xf numFmtId="43" fontId="25" fillId="0" borderId="0" xfId="1" applyNumberFormat="1" applyFont="1"/>
    <xf numFmtId="171" fontId="36" fillId="0" borderId="0" xfId="2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3" fillId="0" borderId="2" xfId="0" applyNumberFormat="1" applyFont="1" applyBorder="1"/>
    <xf numFmtId="2" fontId="8" fillId="0" borderId="0" xfId="0" applyNumberFormat="1" applyFont="1" applyBorder="1" applyAlignment="1">
      <alignment horizontal="center"/>
    </xf>
    <xf numFmtId="2" fontId="0" fillId="0" borderId="2" xfId="0" applyNumberFormat="1" applyBorder="1"/>
    <xf numFmtId="1" fontId="0" fillId="0" borderId="0" xfId="0" applyNumberFormat="1"/>
    <xf numFmtId="0" fontId="18" fillId="0" borderId="0" xfId="0" applyFont="1" applyFill="1"/>
    <xf numFmtId="0" fontId="4" fillId="0" borderId="0" xfId="0" applyFont="1" applyFill="1"/>
    <xf numFmtId="164" fontId="18" fillId="0" borderId="15" xfId="0" applyNumberFormat="1" applyFont="1" applyFill="1" applyBorder="1" applyProtection="1">
      <protection locked="0"/>
    </xf>
    <xf numFmtId="164" fontId="18" fillId="0" borderId="9" xfId="0" applyNumberFormat="1" applyFont="1" applyFill="1" applyBorder="1" applyProtection="1">
      <protection locked="0"/>
    </xf>
    <xf numFmtId="164" fontId="18" fillId="0" borderId="11" xfId="0" applyNumberFormat="1" applyFont="1" applyFill="1" applyBorder="1" applyProtection="1">
      <protection locked="0"/>
    </xf>
    <xf numFmtId="9" fontId="18" fillId="0" borderId="9" xfId="0" applyNumberFormat="1" applyFont="1" applyFill="1" applyBorder="1" applyProtection="1">
      <protection locked="0"/>
    </xf>
    <xf numFmtId="164" fontId="3" fillId="0" borderId="11" xfId="0" applyNumberFormat="1" applyFont="1" applyFill="1" applyBorder="1"/>
    <xf numFmtId="9" fontId="18" fillId="0" borderId="4" xfId="0" applyNumberFormat="1" applyFont="1" applyFill="1" applyBorder="1" applyProtection="1">
      <protection locked="0"/>
    </xf>
    <xf numFmtId="164" fontId="18" fillId="0" borderId="17" xfId="0" applyNumberFormat="1" applyFont="1" applyFill="1" applyBorder="1" applyProtection="1">
      <protection locked="0"/>
    </xf>
    <xf numFmtId="0" fontId="18" fillId="0" borderId="0" xfId="0" applyFont="1" applyFill="1" applyBorder="1" applyProtection="1">
      <protection locked="0"/>
    </xf>
    <xf numFmtId="164" fontId="18" fillId="0" borderId="21" xfId="0" applyNumberFormat="1" applyFont="1" applyFill="1" applyBorder="1" applyProtection="1">
      <protection locked="0"/>
    </xf>
    <xf numFmtId="0" fontId="18" fillId="0" borderId="10" xfId="0" applyFont="1" applyFill="1" applyBorder="1" applyProtection="1">
      <protection locked="0"/>
    </xf>
    <xf numFmtId="9" fontId="18" fillId="0" borderId="0" xfId="0" applyNumberFormat="1" applyFont="1" applyFill="1" applyBorder="1" applyProtection="1">
      <protection locked="0"/>
    </xf>
    <xf numFmtId="0" fontId="0" fillId="0" borderId="20" xfId="0" applyFill="1" applyBorder="1"/>
    <xf numFmtId="0" fontId="0" fillId="0" borderId="9" xfId="0" applyFill="1" applyBorder="1"/>
    <xf numFmtId="0" fontId="0" fillId="0" borderId="8" xfId="0" applyFill="1" applyBorder="1"/>
    <xf numFmtId="0" fontId="0" fillId="0" borderId="21" xfId="0" applyFill="1" applyBorder="1"/>
    <xf numFmtId="0" fontId="0" fillId="0" borderId="11" xfId="0" applyFill="1" applyBorder="1"/>
    <xf numFmtId="0" fontId="0" fillId="0" borderId="10" xfId="0" applyFill="1" applyBorder="1"/>
    <xf numFmtId="0" fontId="0" fillId="0" borderId="19" xfId="0" applyFill="1" applyBorder="1"/>
    <xf numFmtId="9" fontId="0" fillId="0" borderId="22" xfId="0" applyNumberFormat="1" applyFill="1" applyBorder="1" applyProtection="1">
      <protection locked="0"/>
    </xf>
    <xf numFmtId="0" fontId="0" fillId="0" borderId="12" xfId="0" applyFill="1" applyBorder="1"/>
    <xf numFmtId="0" fontId="0" fillId="0" borderId="13" xfId="0" applyFill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10" fontId="18" fillId="0" borderId="9" xfId="0" applyNumberFormat="1" applyFont="1" applyFill="1" applyBorder="1" applyProtection="1">
      <protection locked="0"/>
    </xf>
    <xf numFmtId="172" fontId="25" fillId="0" borderId="0" xfId="1" applyNumberFormat="1" applyFont="1"/>
    <xf numFmtId="2" fontId="25" fillId="0" borderId="0" xfId="2" applyNumberFormat="1" applyFont="1" applyBorder="1"/>
    <xf numFmtId="0" fontId="29" fillId="0" borderId="0" xfId="2" applyFont="1" applyFill="1" applyAlignment="1">
      <alignment horizontal="center"/>
    </xf>
    <xf numFmtId="169" fontId="25" fillId="0" borderId="0" xfId="1" applyNumberFormat="1" applyFont="1" applyFill="1"/>
    <xf numFmtId="169" fontId="28" fillId="0" borderId="0" xfId="1" applyNumberFormat="1" applyFont="1" applyFill="1"/>
    <xf numFmtId="9" fontId="29" fillId="0" borderId="0" xfId="2" applyNumberFormat="1" applyFont="1" applyFill="1" applyBorder="1" applyAlignment="1">
      <alignment horizontal="center"/>
    </xf>
    <xf numFmtId="9" fontId="25" fillId="0" borderId="0" xfId="2" applyNumberFormat="1" applyFont="1" applyFill="1" applyAlignment="1">
      <alignment horizontal="center"/>
    </xf>
    <xf numFmtId="9" fontId="25" fillId="0" borderId="23" xfId="2" applyNumberFormat="1" applyFont="1" applyFill="1" applyBorder="1" applyAlignment="1" applyProtection="1">
      <alignment horizontal="center"/>
      <protection locked="0"/>
    </xf>
    <xf numFmtId="171" fontId="25" fillId="0" borderId="23" xfId="2" applyNumberFormat="1" applyFont="1" applyFill="1" applyBorder="1" applyAlignment="1" applyProtection="1">
      <alignment horizontal="center"/>
      <protection locked="0"/>
    </xf>
    <xf numFmtId="9" fontId="25" fillId="0" borderId="24" xfId="2" applyNumberFormat="1" applyFont="1" applyFill="1" applyBorder="1" applyAlignment="1" applyProtection="1">
      <alignment horizontal="center"/>
      <protection locked="0"/>
    </xf>
    <xf numFmtId="9" fontId="25" fillId="0" borderId="25" xfId="2" applyNumberFormat="1" applyFont="1" applyFill="1" applyBorder="1" applyAlignment="1" applyProtection="1">
      <alignment horizontal="center"/>
      <protection locked="0"/>
    </xf>
    <xf numFmtId="9" fontId="25" fillId="0" borderId="26" xfId="2" applyNumberFormat="1" applyFont="1" applyFill="1" applyBorder="1" applyAlignment="1" applyProtection="1">
      <alignment horizontal="center"/>
      <protection locked="0"/>
    </xf>
    <xf numFmtId="9" fontId="29" fillId="0" borderId="25" xfId="3" applyFont="1" applyFill="1" applyBorder="1" applyAlignment="1" applyProtection="1">
      <alignment horizontal="center"/>
      <protection locked="0"/>
    </xf>
    <xf numFmtId="9" fontId="25" fillId="0" borderId="27" xfId="2" applyNumberFormat="1" applyFont="1" applyFill="1" applyBorder="1" applyAlignment="1" applyProtection="1">
      <alignment horizontal="center"/>
      <protection locked="0"/>
    </xf>
    <xf numFmtId="169" fontId="25" fillId="0" borderId="25" xfId="1" applyNumberFormat="1" applyFont="1" applyFill="1" applyBorder="1" applyProtection="1">
      <protection locked="0"/>
    </xf>
    <xf numFmtId="0" fontId="25" fillId="0" borderId="25" xfId="2" applyFont="1" applyFill="1" applyBorder="1" applyProtection="1">
      <protection locked="0"/>
    </xf>
    <xf numFmtId="0" fontId="37" fillId="0" borderId="0" xfId="2" applyFont="1"/>
    <xf numFmtId="164" fontId="18" fillId="0" borderId="14" xfId="0" applyNumberFormat="1" applyFont="1" applyFill="1" applyBorder="1" applyProtection="1">
      <protection locked="0"/>
    </xf>
    <xf numFmtId="164" fontId="0" fillId="0" borderId="14" xfId="0" applyNumberFormat="1" applyFill="1" applyBorder="1" applyProtection="1">
      <protection locked="0"/>
    </xf>
    <xf numFmtId="164" fontId="0" fillId="0" borderId="17" xfId="0" applyNumberFormat="1" applyFill="1" applyBorder="1" applyProtection="1">
      <protection locked="0"/>
    </xf>
    <xf numFmtId="0" fontId="24" fillId="0" borderId="14" xfId="2" applyFont="1" applyBorder="1"/>
    <xf numFmtId="169" fontId="31" fillId="0" borderId="16" xfId="2" applyNumberFormat="1" applyFont="1" applyBorder="1"/>
    <xf numFmtId="0" fontId="25" fillId="0" borderId="17" xfId="2" applyFont="1" applyBorder="1"/>
    <xf numFmtId="169" fontId="25" fillId="0" borderId="0" xfId="2" applyNumberFormat="1" applyFont="1" applyBorder="1"/>
    <xf numFmtId="0" fontId="25" fillId="0" borderId="28" xfId="2" applyFont="1" applyBorder="1"/>
    <xf numFmtId="169" fontId="25" fillId="0" borderId="29" xfId="2" applyNumberFormat="1" applyFont="1" applyBorder="1"/>
    <xf numFmtId="170" fontId="25" fillId="0" borderId="0" xfId="2" applyNumberFormat="1" applyFont="1"/>
    <xf numFmtId="10" fontId="25" fillId="0" borderId="0" xfId="3" applyNumberFormat="1" applyFont="1"/>
    <xf numFmtId="0" fontId="25" fillId="0" borderId="0" xfId="2" applyFont="1" applyAlignment="1">
      <alignment horizontal="center" wrapText="1"/>
    </xf>
    <xf numFmtId="0" fontId="0" fillId="0" borderId="0" xfId="0" applyAlignment="1">
      <alignment horizontal="center" wrapText="1"/>
    </xf>
    <xf numFmtId="169" fontId="25" fillId="0" borderId="0" xfId="1" applyNumberFormat="1" applyFont="1" applyAlignment="1">
      <alignment horizontal="center" wrapText="1"/>
    </xf>
    <xf numFmtId="9" fontId="25" fillId="0" borderId="0" xfId="3" applyFont="1" applyAlignment="1">
      <alignment horizontal="center" wrapText="1"/>
    </xf>
    <xf numFmtId="0" fontId="7" fillId="0" borderId="16" xfId="0" applyFont="1" applyBorder="1" applyAlignment="1">
      <alignment horizontal="center"/>
    </xf>
    <xf numFmtId="0" fontId="0" fillId="0" borderId="16" xfId="0" applyBorder="1" applyAlignment="1"/>
    <xf numFmtId="0" fontId="8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Comma_Parker School" xfId="1"/>
    <cellStyle name="Normal" xfId="0" builtinId="0"/>
    <cellStyle name="Normal_Parker School" xfId="2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95250</xdr:rowOff>
        </xdr:from>
        <xdr:to>
          <xdr:col>11</xdr:col>
          <xdr:colOff>400050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38100</xdr:colOff>
      <xdr:row>20</xdr:row>
      <xdr:rowOff>85725</xdr:rowOff>
    </xdr:from>
    <xdr:ext cx="104775" cy="203200"/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00000000-0008-0000-0800-0000021C0000}"/>
            </a:ext>
          </a:extLst>
        </xdr:cNvPr>
        <xdr:cNvSpPr txBox="1">
          <a:spLocks noChangeArrowheads="1"/>
        </xdr:cNvSpPr>
      </xdr:nvSpPr>
      <xdr:spPr bwMode="auto">
        <a:xfrm>
          <a:off x="15478125" y="3457575"/>
          <a:ext cx="1047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B148"/>
  <sheetViews>
    <sheetView tabSelected="1" topLeftCell="A3" workbookViewId="0">
      <selection activeCell="C31" sqref="C31"/>
    </sheetView>
  </sheetViews>
  <sheetFormatPr defaultColWidth="9.1328125" defaultRowHeight="15.4" outlineLevelRow="1" x14ac:dyDescent="0.45"/>
  <cols>
    <col min="1" max="1" width="42.265625" style="99" bestFit="1" customWidth="1"/>
    <col min="2" max="2" width="13" style="99" customWidth="1"/>
    <col min="3" max="5" width="12.73046875" style="99" customWidth="1"/>
    <col min="6" max="6" width="23.86328125" style="99" hidden="1" customWidth="1"/>
    <col min="7" max="7" width="9.86328125" style="99" hidden="1" customWidth="1"/>
    <col min="8" max="10" width="9.1328125" style="99" hidden="1" customWidth="1"/>
    <col min="11" max="11" width="37.265625" style="99" hidden="1" customWidth="1"/>
    <col min="12" max="13" width="11.59765625" style="99" bestFit="1" customWidth="1"/>
    <col min="14" max="24" width="9.1328125" style="99"/>
    <col min="25" max="25" width="19.59765625" style="99" bestFit="1" customWidth="1"/>
    <col min="26" max="26" width="18.59765625" style="99" customWidth="1"/>
    <col min="27" max="28" width="11.59765625" style="99" bestFit="1" customWidth="1"/>
    <col min="29" max="16384" width="9.1328125" style="99"/>
  </cols>
  <sheetData>
    <row r="1" spans="1:28" x14ac:dyDescent="0.45">
      <c r="A1" s="98" t="s">
        <v>161</v>
      </c>
    </row>
    <row r="2" spans="1:28" x14ac:dyDescent="0.45">
      <c r="A2" s="192" t="s">
        <v>145</v>
      </c>
    </row>
    <row r="3" spans="1:28" x14ac:dyDescent="0.45">
      <c r="A3" s="192" t="s">
        <v>146</v>
      </c>
    </row>
    <row r="4" spans="1:28" x14ac:dyDescent="0.45">
      <c r="A4" s="192" t="s">
        <v>147</v>
      </c>
    </row>
    <row r="5" spans="1:28" x14ac:dyDescent="0.45">
      <c r="A5" s="192" t="s">
        <v>160</v>
      </c>
    </row>
    <row r="6" spans="1:28" ht="18" thickBot="1" x14ac:dyDescent="0.8">
      <c r="A6" s="113"/>
      <c r="B6" s="141"/>
      <c r="C6" s="141"/>
      <c r="D6" s="141"/>
      <c r="E6" s="141"/>
      <c r="F6" s="114"/>
    </row>
    <row r="7" spans="1:28" ht="18" thickBot="1" x14ac:dyDescent="0.8">
      <c r="A7" s="196" t="s">
        <v>144</v>
      </c>
      <c r="B7" s="197"/>
      <c r="C7" s="197"/>
      <c r="D7" s="197"/>
      <c r="E7" s="197"/>
      <c r="F7" s="114"/>
    </row>
    <row r="8" spans="1:28" ht="15.75" thickBot="1" x14ac:dyDescent="0.5">
      <c r="A8" s="198" t="s">
        <v>142</v>
      </c>
      <c r="B8" s="185">
        <v>0.2</v>
      </c>
      <c r="C8" s="199"/>
      <c r="D8" s="199"/>
      <c r="E8" s="199"/>
      <c r="F8" s="114"/>
      <c r="G8" s="99" t="b">
        <f>IF(B8&gt;=-1,TRUE,FALSE)</f>
        <v>1</v>
      </c>
      <c r="Y8" s="185">
        <v>0</v>
      </c>
      <c r="Z8" s="114"/>
      <c r="AA8" s="114"/>
      <c r="AB8" s="114"/>
    </row>
    <row r="9" spans="1:28" ht="15.75" thickBot="1" x14ac:dyDescent="0.5">
      <c r="A9" s="198" t="s">
        <v>143</v>
      </c>
      <c r="B9" s="189">
        <v>0</v>
      </c>
      <c r="C9" s="199"/>
      <c r="D9" s="199"/>
      <c r="E9" s="199"/>
      <c r="F9" s="114"/>
      <c r="G9" s="99" t="b">
        <f>IF(B9&gt;=-1,TRUE,FALSE)</f>
        <v>1</v>
      </c>
      <c r="Y9" s="189">
        <v>0</v>
      </c>
      <c r="Z9" s="114"/>
      <c r="AA9" s="114"/>
      <c r="AB9" s="114"/>
    </row>
    <row r="10" spans="1:28" x14ac:dyDescent="0.45">
      <c r="A10" s="198" t="s">
        <v>99</v>
      </c>
      <c r="B10" s="199">
        <f>B122</f>
        <v>-229483.78000000003</v>
      </c>
      <c r="C10" s="199">
        <f>C122</f>
        <v>84429.5</v>
      </c>
      <c r="D10" s="199">
        <f>D122</f>
        <v>369513.62285714282</v>
      </c>
      <c r="E10" s="199">
        <f>E122</f>
        <v>521454.52491428575</v>
      </c>
      <c r="F10" s="114"/>
      <c r="Y10" s="114"/>
      <c r="Z10" s="114"/>
      <c r="AA10" s="114"/>
      <c r="AB10" s="114"/>
    </row>
    <row r="11" spans="1:28" ht="15.75" thickBot="1" x14ac:dyDescent="0.5">
      <c r="A11" s="200" t="s">
        <v>70</v>
      </c>
      <c r="B11" s="201">
        <f>'Cash Flow_2006'!AA20</f>
        <v>-277348.97999999975</v>
      </c>
      <c r="C11" s="201">
        <f>'Cash Flow_2007'!AA20</f>
        <v>116927.40000000002</v>
      </c>
      <c r="D11" s="201">
        <f>'Cash Flow_2008'!AA20</f>
        <v>377012.02285714296</v>
      </c>
      <c r="E11" s="201">
        <f>E10+E115</f>
        <v>528954.52491428575</v>
      </c>
      <c r="F11" s="114"/>
      <c r="K11" s="116"/>
      <c r="Y11" s="114"/>
      <c r="Z11" s="114"/>
      <c r="AA11" s="114"/>
      <c r="AB11" s="114"/>
    </row>
    <row r="12" spans="1:28" x14ac:dyDescent="0.45">
      <c r="A12" s="115"/>
      <c r="B12" s="114"/>
      <c r="C12" s="114"/>
      <c r="D12" s="114"/>
      <c r="E12" s="114"/>
      <c r="F12" s="114"/>
      <c r="K12" s="116"/>
      <c r="Y12" s="114"/>
      <c r="Z12" s="114"/>
      <c r="AA12" s="114"/>
      <c r="AB12" s="114"/>
    </row>
    <row r="13" spans="1:28" x14ac:dyDescent="0.45">
      <c r="B13" s="100" t="s">
        <v>107</v>
      </c>
      <c r="C13" s="100" t="s">
        <v>108</v>
      </c>
      <c r="D13" s="100" t="s">
        <v>109</v>
      </c>
      <c r="E13" s="100" t="s">
        <v>110</v>
      </c>
      <c r="F13" s="119"/>
      <c r="Y13" s="100" t="s">
        <v>107</v>
      </c>
      <c r="Z13" s="100" t="s">
        <v>108</v>
      </c>
      <c r="AA13" s="100" t="s">
        <v>109</v>
      </c>
      <c r="AB13" s="100" t="s">
        <v>110</v>
      </c>
    </row>
    <row r="14" spans="1:28" x14ac:dyDescent="0.45">
      <c r="A14" s="98" t="s">
        <v>113</v>
      </c>
      <c r="K14" s="99" t="s">
        <v>83</v>
      </c>
      <c r="L14" s="114"/>
      <c r="M14" s="114"/>
    </row>
    <row r="15" spans="1:28" x14ac:dyDescent="0.45">
      <c r="A15" s="135" t="s">
        <v>156</v>
      </c>
      <c r="B15" s="115"/>
      <c r="C15" s="115"/>
      <c r="D15" s="115"/>
      <c r="E15" s="115"/>
      <c r="F15" s="115"/>
      <c r="K15" s="99" t="s">
        <v>148</v>
      </c>
      <c r="L15" s="114"/>
      <c r="M15" s="114"/>
      <c r="Y15" s="115"/>
      <c r="Z15" s="115"/>
      <c r="AA15" s="115"/>
      <c r="AB15" s="115"/>
    </row>
    <row r="16" spans="1:28" hidden="1" outlineLevel="1" x14ac:dyDescent="0.45">
      <c r="A16" s="134" t="str">
        <f>CONCATENATE("    6 month license (# sold)")</f>
        <v xml:space="preserve">    6 month license (# sold)</v>
      </c>
      <c r="B16" s="101"/>
      <c r="C16" s="101"/>
      <c r="D16" s="101"/>
      <c r="E16" s="101"/>
      <c r="F16" s="109"/>
      <c r="K16" s="99" t="s">
        <v>149</v>
      </c>
      <c r="L16" s="114"/>
      <c r="M16" s="114"/>
      <c r="Y16" s="101"/>
      <c r="Z16" s="101"/>
      <c r="AA16" s="101"/>
      <c r="AB16" s="101"/>
    </row>
    <row r="17" spans="1:28" hidden="1" outlineLevel="1" x14ac:dyDescent="0.45">
      <c r="A17" s="136" t="str">
        <f>CONCATENATE("        # of licenses sold")</f>
        <v xml:space="preserve">        # of licenses sold</v>
      </c>
      <c r="B17" s="102">
        <f>ROUND(B29*B19,0)</f>
        <v>59</v>
      </c>
      <c r="C17" s="117">
        <f>ROUND(C29*C18,0)</f>
        <v>80</v>
      </c>
      <c r="D17" s="102">
        <f>ROUND(D29*D18,0)</f>
        <v>87</v>
      </c>
      <c r="E17" s="102">
        <f>ROUND(E29*E18,0)</f>
        <v>82</v>
      </c>
      <c r="F17" s="109"/>
      <c r="K17" s="99" t="s">
        <v>70</v>
      </c>
      <c r="L17" s="114"/>
      <c r="M17" s="114"/>
      <c r="Y17" s="102"/>
      <c r="Z17" s="117"/>
      <c r="AA17" s="102"/>
      <c r="AB17" s="102"/>
    </row>
    <row r="18" spans="1:28" ht="15.75" hidden="1" outlineLevel="1" thickBot="1" x14ac:dyDescent="0.5">
      <c r="A18" s="136" t="str">
        <f>CONCATENATE("        % of total sales to U and C")</f>
        <v xml:space="preserve">        % of total sales to U and C</v>
      </c>
      <c r="B18" s="184">
        <v>45</v>
      </c>
      <c r="C18" s="101">
        <f>ROUND(B19*90%,3)</f>
        <v>0.40500000000000003</v>
      </c>
      <c r="D18" s="101">
        <f>C18*90%</f>
        <v>0.36450000000000005</v>
      </c>
      <c r="E18" s="101">
        <f>D18*90%</f>
        <v>0.32805000000000006</v>
      </c>
      <c r="F18" s="143"/>
      <c r="G18" s="99" t="b">
        <f>IF(AND(B18&lt;=100,B18&gt;=0),TRUE,FALSE)</f>
        <v>1</v>
      </c>
      <c r="Y18" s="184">
        <v>45</v>
      </c>
      <c r="Z18" s="101"/>
      <c r="AA18" s="101"/>
      <c r="AB18" s="101"/>
    </row>
    <row r="19" spans="1:28" hidden="1" outlineLevel="1" x14ac:dyDescent="0.45">
      <c r="A19" s="134" t="str">
        <f>CONCATENATE("    1 year license (# sold)")</f>
        <v xml:space="preserve">    1 year license (# sold)</v>
      </c>
      <c r="B19" s="144">
        <f>B18/100</f>
        <v>0.45</v>
      </c>
      <c r="C19" s="115"/>
      <c r="D19" s="115"/>
      <c r="E19" s="115"/>
      <c r="F19" s="109"/>
      <c r="Y19" s="144"/>
      <c r="Z19" s="115"/>
      <c r="AA19" s="115"/>
      <c r="AB19" s="115"/>
    </row>
    <row r="20" spans="1:28" hidden="1" outlineLevel="1" x14ac:dyDescent="0.45">
      <c r="A20" s="136" t="str">
        <f>CONCATENATE("        # of licenses sold")</f>
        <v xml:space="preserve">        # of licenses sold</v>
      </c>
      <c r="B20" s="102">
        <f>ROUND(B29*B22,0)</f>
        <v>20</v>
      </c>
      <c r="C20" s="117">
        <f>ROUND(C29*C21,0)</f>
        <v>28</v>
      </c>
      <c r="D20" s="102">
        <f>ROUND(D29*D21,0)</f>
        <v>32</v>
      </c>
      <c r="E20" s="102">
        <f>ROUND(E29*E21,0)</f>
        <v>32</v>
      </c>
      <c r="F20" s="109"/>
      <c r="Y20" s="102"/>
      <c r="Z20" s="117"/>
      <c r="AA20" s="102"/>
      <c r="AB20" s="102"/>
    </row>
    <row r="21" spans="1:28" ht="15.75" hidden="1" outlineLevel="1" thickBot="1" x14ac:dyDescent="0.5">
      <c r="A21" s="136" t="str">
        <f>CONCATENATE("        % of total sales to U and C")</f>
        <v xml:space="preserve">        % of total sales to U and C</v>
      </c>
      <c r="B21" s="184">
        <v>15</v>
      </c>
      <c r="C21" s="101">
        <f>ROUND(B22*95%,3)</f>
        <v>0.14299999999999999</v>
      </c>
      <c r="D21" s="101">
        <f>C21*95%</f>
        <v>0.13584999999999997</v>
      </c>
      <c r="E21" s="101">
        <f>D21*95%</f>
        <v>0.12905749999999996</v>
      </c>
      <c r="F21" s="109"/>
      <c r="G21" s="99" t="b">
        <f>IF(AND(B21&lt;=100,B21&gt;=0),TRUE,FALSE)</f>
        <v>1</v>
      </c>
      <c r="Y21" s="184">
        <v>15</v>
      </c>
      <c r="Z21" s="101"/>
      <c r="AA21" s="101"/>
      <c r="AB21" s="101"/>
    </row>
    <row r="22" spans="1:28" hidden="1" outlineLevel="1" x14ac:dyDescent="0.45">
      <c r="A22" s="137" t="str">
        <f>CONCATENATE("    3 year license (# sold)")</f>
        <v xml:space="preserve">    3 year license (# sold)</v>
      </c>
      <c r="B22" s="144">
        <f>B21/100</f>
        <v>0.15</v>
      </c>
      <c r="F22" s="109"/>
      <c r="Y22" s="144"/>
    </row>
    <row r="23" spans="1:28" hidden="1" outlineLevel="1" x14ac:dyDescent="0.45">
      <c r="A23" s="136" t="str">
        <f>CONCATENATE("        # of licenses sold")</f>
        <v xml:space="preserve">        # of licenses sold</v>
      </c>
      <c r="B23" s="102">
        <f>ROUND(B29*B25,0)</f>
        <v>26</v>
      </c>
      <c r="C23" s="117">
        <f>ROUND(C29*C24,0)</f>
        <v>43</v>
      </c>
      <c r="D23" s="102">
        <f>ROUND(D29*D24,0)</f>
        <v>55</v>
      </c>
      <c r="E23" s="102">
        <f>ROUND(E29*E24,0)</f>
        <v>62</v>
      </c>
      <c r="F23" s="109"/>
      <c r="Y23" s="102"/>
      <c r="Z23" s="117"/>
      <c r="AA23" s="102"/>
      <c r="AB23" s="102"/>
    </row>
    <row r="24" spans="1:28" ht="15.75" hidden="1" outlineLevel="1" thickBot="1" x14ac:dyDescent="0.5">
      <c r="A24" s="136" t="str">
        <f>CONCATENATE("        % of total sales to U and C")</f>
        <v xml:space="preserve">        % of total sales to U and C</v>
      </c>
      <c r="B24" s="184">
        <v>20</v>
      </c>
      <c r="C24" s="101">
        <f>ROUND(B25*107.5%,3)</f>
        <v>0.215</v>
      </c>
      <c r="D24" s="101">
        <f>C24*107.5%</f>
        <v>0.231125</v>
      </c>
      <c r="E24" s="101">
        <f>D24*107.5%</f>
        <v>0.24845937499999998</v>
      </c>
      <c r="F24" s="109"/>
      <c r="G24" s="99" t="b">
        <f>IF(AND(B24&lt;=100,B24&gt;=0),TRUE,FALSE)</f>
        <v>1</v>
      </c>
      <c r="Y24" s="184">
        <v>20</v>
      </c>
      <c r="Z24" s="101"/>
      <c r="AA24" s="101"/>
      <c r="AB24" s="101"/>
    </row>
    <row r="25" spans="1:28" hidden="1" outlineLevel="1" x14ac:dyDescent="0.45">
      <c r="A25" s="137" t="str">
        <f>CONCATENATE("    permanent license (# sold)")</f>
        <v xml:space="preserve">    permanent license (# sold)</v>
      </c>
      <c r="B25" s="144">
        <f>B24/100</f>
        <v>0.2</v>
      </c>
      <c r="F25" s="109"/>
      <c r="Y25" s="144"/>
    </row>
    <row r="26" spans="1:28" hidden="1" outlineLevel="1" x14ac:dyDescent="0.45">
      <c r="A26" s="136" t="str">
        <f>CONCATENATE("        # of licenses sold")</f>
        <v xml:space="preserve">        # of licenses sold</v>
      </c>
      <c r="B26" s="102">
        <f>ROUND(B29*B28,0)</f>
        <v>26</v>
      </c>
      <c r="C26" s="117">
        <f>ROUND(C29*C27,0)</f>
        <v>47</v>
      </c>
      <c r="D26" s="102">
        <f>ROUND(D29*D27,0)</f>
        <v>64</v>
      </c>
      <c r="E26" s="102">
        <f>ROUND(E29*E27,0)</f>
        <v>74</v>
      </c>
      <c r="F26" s="109"/>
      <c r="Y26" s="102"/>
      <c r="Z26" s="117"/>
      <c r="AA26" s="102"/>
      <c r="AB26" s="102"/>
    </row>
    <row r="27" spans="1:28" ht="15.75" hidden="1" outlineLevel="1" thickBot="1" x14ac:dyDescent="0.5">
      <c r="A27" s="136" t="str">
        <f>CONCATENATE("        % of total sales to U and C")</f>
        <v xml:space="preserve">        % of total sales to U and C</v>
      </c>
      <c r="B27" s="184">
        <v>20</v>
      </c>
      <c r="C27" s="101">
        <f>C28-C24-C21-C18</f>
        <v>0.23699999999999999</v>
      </c>
      <c r="D27" s="101">
        <f>D28-D24-D21-D18</f>
        <v>0.2685249999999999</v>
      </c>
      <c r="E27" s="101">
        <f>E28-E24-E21-E18</f>
        <v>0.29443312500000007</v>
      </c>
      <c r="F27" s="109"/>
      <c r="G27" s="99" t="b">
        <f>IF(AND(B27&lt;=100,B27&gt;=0),TRUE,FALSE)</f>
        <v>1</v>
      </c>
      <c r="Y27" s="184">
        <v>20</v>
      </c>
      <c r="Z27" s="101"/>
      <c r="AA27" s="101"/>
      <c r="AB27" s="101"/>
    </row>
    <row r="28" spans="1:28" hidden="1" outlineLevel="1" x14ac:dyDescent="0.45">
      <c r="A28" s="177"/>
      <c r="B28" s="144">
        <f>B27/100</f>
        <v>0.2</v>
      </c>
      <c r="C28" s="142">
        <v>1</v>
      </c>
      <c r="D28" s="142">
        <v>1</v>
      </c>
      <c r="E28" s="142">
        <v>1</v>
      </c>
      <c r="F28" s="176"/>
      <c r="Y28" s="144"/>
      <c r="Z28" s="142"/>
      <c r="AA28" s="142"/>
      <c r="AB28" s="142"/>
    </row>
    <row r="29" spans="1:28" ht="15.75" collapsed="1" thickBot="1" x14ac:dyDescent="0.5">
      <c r="A29" s="138" t="str">
        <f>CONCATENATE("  Total # of licenses sold")</f>
        <v xml:space="preserve">  Total # of licenses sold</v>
      </c>
      <c r="B29" s="178">
        <f>ROUND(110*(1+$B$8),0)</f>
        <v>132</v>
      </c>
      <c r="C29" s="129">
        <f>ROUND(B29+B29*C30,0)</f>
        <v>198</v>
      </c>
      <c r="D29" s="129">
        <f>ROUND(C29+C29*D30,0)</f>
        <v>238</v>
      </c>
      <c r="E29" s="129">
        <f>ROUND(D29+D29*E30,0)</f>
        <v>250</v>
      </c>
      <c r="F29" s="111"/>
      <c r="G29" s="99" t="b">
        <f>IF(B29&gt;=0,TRUE,FALSE)</f>
        <v>1</v>
      </c>
      <c r="Y29" s="178"/>
      <c r="Z29" s="129"/>
      <c r="AA29" s="129"/>
      <c r="AB29" s="129"/>
    </row>
    <row r="30" spans="1:28" ht="15.75" thickBot="1" x14ac:dyDescent="0.5">
      <c r="A30" s="138" t="str">
        <f>CONCATENATE("  Sales Increase/Decrease")</f>
        <v xml:space="preserve">  Sales Increase/Decrease</v>
      </c>
      <c r="B30" s="104"/>
      <c r="C30" s="183">
        <v>0.5</v>
      </c>
      <c r="D30" s="183">
        <v>0.2</v>
      </c>
      <c r="E30" s="183">
        <v>0.05</v>
      </c>
      <c r="F30" s="111"/>
      <c r="H30" s="99" t="b">
        <f>IF(C30&gt;=-1,TRUE,FALSE)</f>
        <v>1</v>
      </c>
      <c r="I30" s="99" t="b">
        <f>IF(D30&gt;=-1,TRUE,FALSE)</f>
        <v>1</v>
      </c>
      <c r="J30" s="99" t="b">
        <f>IF(E30&gt;=-1,TRUE,FALSE)</f>
        <v>1</v>
      </c>
      <c r="Y30" s="104"/>
      <c r="Z30" s="183">
        <v>0.8</v>
      </c>
      <c r="AA30" s="183">
        <v>0.2</v>
      </c>
      <c r="AB30" s="183">
        <v>0.05</v>
      </c>
    </row>
    <row r="31" spans="1:28" x14ac:dyDescent="0.45">
      <c r="A31" s="133" t="s">
        <v>150</v>
      </c>
      <c r="B31" s="101"/>
      <c r="C31" s="101"/>
      <c r="D31" s="101"/>
      <c r="E31" s="101"/>
      <c r="F31" s="101"/>
      <c r="Y31" s="101"/>
      <c r="Z31" s="101"/>
      <c r="AA31" s="101"/>
      <c r="AB31" s="101"/>
    </row>
    <row r="32" spans="1:28" hidden="1" outlineLevel="1" x14ac:dyDescent="0.45">
      <c r="A32" s="134" t="str">
        <f>CONCATENATE("    6 month license (# sold)")</f>
        <v xml:space="preserve">    6 month license (# sold)</v>
      </c>
      <c r="B32" s="101"/>
      <c r="C32" s="101"/>
      <c r="D32" s="101"/>
      <c r="E32" s="101"/>
      <c r="F32" s="109"/>
      <c r="Y32" s="101"/>
      <c r="Z32" s="101"/>
      <c r="AA32" s="101"/>
      <c r="AB32" s="101"/>
    </row>
    <row r="33" spans="1:28" hidden="1" outlineLevel="1" x14ac:dyDescent="0.45">
      <c r="A33" s="136" t="str">
        <f>CONCATENATE("        # of licenses sold")</f>
        <v xml:space="preserve">        # of licenses sold</v>
      </c>
      <c r="B33" s="102">
        <f>ROUND(B45*B35,0)</f>
        <v>25</v>
      </c>
      <c r="C33" s="117">
        <f>ROUND(C45*C34,0)</f>
        <v>40</v>
      </c>
      <c r="D33" s="102">
        <f>ROUND(D45*D34,0)</f>
        <v>43</v>
      </c>
      <c r="E33" s="102">
        <f>ROUND(E45*E34,0)</f>
        <v>41</v>
      </c>
      <c r="F33" s="109"/>
      <c r="Y33" s="102"/>
      <c r="Z33" s="117"/>
      <c r="AA33" s="102"/>
      <c r="AB33" s="102"/>
    </row>
    <row r="34" spans="1:28" ht="15.75" hidden="1" outlineLevel="1" thickBot="1" x14ac:dyDescent="0.5">
      <c r="A34" s="136" t="str">
        <f>CONCATENATE("        % of total sales to U and C")</f>
        <v xml:space="preserve">        % of total sales to U and C</v>
      </c>
      <c r="B34" s="184">
        <v>45</v>
      </c>
      <c r="C34" s="101">
        <f>ROUND(B35*90%,3)</f>
        <v>0.40500000000000003</v>
      </c>
      <c r="D34" s="101">
        <f>C34*90%</f>
        <v>0.36450000000000005</v>
      </c>
      <c r="E34" s="101">
        <f>D34*90%</f>
        <v>0.32805000000000006</v>
      </c>
      <c r="F34" s="109"/>
      <c r="G34" s="99" t="b">
        <f>IF(AND(B34&lt;=100,B34&gt;=0),TRUE,FALSE)</f>
        <v>1</v>
      </c>
      <c r="Y34" s="184">
        <v>45</v>
      </c>
      <c r="Z34" s="101"/>
      <c r="AA34" s="101"/>
      <c r="AB34" s="101"/>
    </row>
    <row r="35" spans="1:28" hidden="1" outlineLevel="1" x14ac:dyDescent="0.45">
      <c r="A35" s="134" t="str">
        <f>CONCATENATE("    1 year license (# sold)")</f>
        <v xml:space="preserve">    1 year license (# sold)</v>
      </c>
      <c r="B35" s="144">
        <f>B34/100</f>
        <v>0.45</v>
      </c>
      <c r="C35" s="115"/>
      <c r="D35" s="115"/>
      <c r="E35" s="115"/>
      <c r="F35" s="109"/>
      <c r="Y35" s="144"/>
      <c r="Z35" s="115"/>
      <c r="AA35" s="115"/>
      <c r="AB35" s="115"/>
    </row>
    <row r="36" spans="1:28" hidden="1" outlineLevel="1" x14ac:dyDescent="0.45">
      <c r="A36" s="136" t="str">
        <f>CONCATENATE("        # of licenses sold")</f>
        <v xml:space="preserve">        # of licenses sold</v>
      </c>
      <c r="B36" s="102">
        <f>ROUND(B45*B38,0)</f>
        <v>8</v>
      </c>
      <c r="C36" s="117">
        <f>ROUND(C45*C37,0)</f>
        <v>14</v>
      </c>
      <c r="D36" s="102">
        <f>ROUND(D45*D37,0)</f>
        <v>16</v>
      </c>
      <c r="E36" s="102">
        <f>ROUND(E45*E37,0)</f>
        <v>16</v>
      </c>
      <c r="F36" s="109"/>
      <c r="Y36" s="102"/>
      <c r="Z36" s="117"/>
      <c r="AA36" s="102"/>
      <c r="AB36" s="102"/>
    </row>
    <row r="37" spans="1:28" ht="15.75" hidden="1" outlineLevel="1" thickBot="1" x14ac:dyDescent="0.5">
      <c r="A37" s="136" t="str">
        <f>CONCATENATE("        % of total sales to U and C")</f>
        <v xml:space="preserve">        % of total sales to U and C</v>
      </c>
      <c r="B37" s="184">
        <v>15</v>
      </c>
      <c r="C37" s="101">
        <f>ROUND(B38*95%,3)</f>
        <v>0.14299999999999999</v>
      </c>
      <c r="D37" s="101">
        <f>C37*95%</f>
        <v>0.13584999999999997</v>
      </c>
      <c r="E37" s="101">
        <f>D37*95%</f>
        <v>0.12905749999999996</v>
      </c>
      <c r="F37" s="109"/>
      <c r="G37" s="99" t="b">
        <f>IF(AND(B37&lt;=100,B37&gt;=0),TRUE,FALSE)</f>
        <v>1</v>
      </c>
      <c r="Y37" s="184">
        <v>15</v>
      </c>
      <c r="Z37" s="101"/>
      <c r="AA37" s="101"/>
      <c r="AB37" s="101"/>
    </row>
    <row r="38" spans="1:28" hidden="1" outlineLevel="1" x14ac:dyDescent="0.45">
      <c r="A38" s="137" t="str">
        <f>CONCATENATE("    3 year license (# sold)")</f>
        <v xml:space="preserve">    3 year license (# sold)</v>
      </c>
      <c r="B38" s="144">
        <f>B37/100</f>
        <v>0.15</v>
      </c>
      <c r="F38" s="109"/>
      <c r="Y38" s="144"/>
    </row>
    <row r="39" spans="1:28" hidden="1" outlineLevel="1" x14ac:dyDescent="0.45">
      <c r="A39" s="136" t="str">
        <f>CONCATENATE("        # of licenses sold")</f>
        <v xml:space="preserve">        # of licenses sold</v>
      </c>
      <c r="B39" s="102">
        <f>ROUND(B45*B41,0)</f>
        <v>11</v>
      </c>
      <c r="C39" s="117">
        <f>ROUND(C45*C40,0)</f>
        <v>21</v>
      </c>
      <c r="D39" s="102">
        <f>ROUND(D45*D40,0)</f>
        <v>28</v>
      </c>
      <c r="E39" s="102">
        <f>ROUND(E45*E40,0)</f>
        <v>31</v>
      </c>
      <c r="F39" s="109"/>
      <c r="Y39" s="102"/>
      <c r="Z39" s="117"/>
      <c r="AA39" s="102"/>
      <c r="AB39" s="102"/>
    </row>
    <row r="40" spans="1:28" ht="15.75" hidden="1" outlineLevel="1" thickBot="1" x14ac:dyDescent="0.5">
      <c r="A40" s="136" t="str">
        <f>CONCATENATE("        % of total sales to U and C")</f>
        <v xml:space="preserve">        % of total sales to U and C</v>
      </c>
      <c r="B40" s="184">
        <v>20</v>
      </c>
      <c r="C40" s="101">
        <f>ROUND(B41*107.5%,3)</f>
        <v>0.215</v>
      </c>
      <c r="D40" s="101">
        <f>C40*107.5%</f>
        <v>0.231125</v>
      </c>
      <c r="E40" s="101">
        <f>D40*107.5%</f>
        <v>0.24845937499999998</v>
      </c>
      <c r="F40" s="109"/>
      <c r="G40" s="99" t="b">
        <f>IF(AND(B40&lt;=100,B40&gt;=0),TRUE,FALSE)</f>
        <v>1</v>
      </c>
      <c r="Y40" s="184">
        <v>20</v>
      </c>
      <c r="Z40" s="101"/>
      <c r="AA40" s="101"/>
      <c r="AB40" s="101"/>
    </row>
    <row r="41" spans="1:28" hidden="1" outlineLevel="1" x14ac:dyDescent="0.45">
      <c r="A41" s="137" t="str">
        <f>CONCATENATE("    permanent license (# sold)")</f>
        <v xml:space="preserve">    permanent license (# sold)</v>
      </c>
      <c r="B41" s="144">
        <f>B40/100</f>
        <v>0.2</v>
      </c>
      <c r="F41" s="109"/>
      <c r="Y41" s="144">
        <v>0.2</v>
      </c>
    </row>
    <row r="42" spans="1:28" hidden="1" outlineLevel="1" x14ac:dyDescent="0.45">
      <c r="A42" s="136" t="str">
        <f>CONCATENATE("        # of licenses sold")</f>
        <v xml:space="preserve">        # of licenses sold</v>
      </c>
      <c r="B42" s="102">
        <f>ROUND(B45*B44,0)</f>
        <v>11</v>
      </c>
      <c r="C42" s="117">
        <f>ROUND(C45*C43,0)</f>
        <v>23</v>
      </c>
      <c r="D42" s="102">
        <f>ROUND(D45*D43,0)</f>
        <v>32</v>
      </c>
      <c r="E42" s="102">
        <f>ROUND(E45*E43,0)</f>
        <v>37</v>
      </c>
      <c r="F42" s="109"/>
      <c r="Y42" s="102"/>
      <c r="Z42" s="117"/>
      <c r="AA42" s="102"/>
      <c r="AB42" s="102"/>
    </row>
    <row r="43" spans="1:28" ht="15.75" hidden="1" outlineLevel="1" thickBot="1" x14ac:dyDescent="0.5">
      <c r="A43" s="136" t="str">
        <f>CONCATENATE("        % of total sales to U and C")</f>
        <v xml:space="preserve">        % of total sales to U and C</v>
      </c>
      <c r="B43" s="184">
        <v>20</v>
      </c>
      <c r="C43" s="101">
        <f>C44-C40-C37-C34</f>
        <v>0.23699999999999999</v>
      </c>
      <c r="D43" s="101">
        <f>D44-D40-D37-D34</f>
        <v>0.2685249999999999</v>
      </c>
      <c r="E43" s="101">
        <f>E44-E40-E37-E34</f>
        <v>0.29443312500000007</v>
      </c>
      <c r="F43" s="109"/>
      <c r="G43" s="99" t="b">
        <f>IF(AND(B43&lt;=100,B43&gt;=0),TRUE,FALSE)</f>
        <v>1</v>
      </c>
      <c r="Y43" s="184">
        <v>20</v>
      </c>
      <c r="Z43" s="101"/>
      <c r="AA43" s="101"/>
      <c r="AB43" s="101"/>
    </row>
    <row r="44" spans="1:28" hidden="1" outlineLevel="1" x14ac:dyDescent="0.45">
      <c r="A44" s="134"/>
      <c r="B44" s="144">
        <f>B43/100</f>
        <v>0.2</v>
      </c>
      <c r="C44" s="142">
        <v>1</v>
      </c>
      <c r="D44" s="142">
        <v>1</v>
      </c>
      <c r="E44" s="142">
        <v>1</v>
      </c>
      <c r="F44" s="109"/>
      <c r="Y44" s="144"/>
      <c r="Z44" s="142"/>
      <c r="AA44" s="142"/>
      <c r="AB44" s="142"/>
    </row>
    <row r="45" spans="1:28" ht="15.75" collapsed="1" thickBot="1" x14ac:dyDescent="0.5">
      <c r="A45" s="138" t="str">
        <f>CONCATENATE("  Total # of licenses sold")</f>
        <v xml:space="preserve">  Total # of licenses sold</v>
      </c>
      <c r="B45" s="178">
        <v>55</v>
      </c>
      <c r="C45" s="129">
        <f>ROUND(B45+B45*C46,0)</f>
        <v>99</v>
      </c>
      <c r="D45" s="129">
        <f>ROUND(C45+C45*D46,0)</f>
        <v>119</v>
      </c>
      <c r="E45" s="129">
        <f>ROUND(D45+D45*E46,0)</f>
        <v>125</v>
      </c>
      <c r="F45" s="111"/>
      <c r="G45" s="99" t="b">
        <f>IF(B45&gt;=0,TRUE,FALSE)</f>
        <v>1</v>
      </c>
      <c r="Y45" s="178"/>
      <c r="Z45" s="129"/>
      <c r="AA45" s="129"/>
      <c r="AB45" s="129"/>
    </row>
    <row r="46" spans="1:28" ht="15.75" thickBot="1" x14ac:dyDescent="0.5">
      <c r="A46" s="138" t="str">
        <f>CONCATENATE("  Sales Increase/Decrease")</f>
        <v xml:space="preserve">  Sales Increase/Decrease</v>
      </c>
      <c r="B46" s="104"/>
      <c r="C46" s="183">
        <v>0.8</v>
      </c>
      <c r="D46" s="183">
        <v>0.2</v>
      </c>
      <c r="E46" s="183">
        <v>0.05</v>
      </c>
      <c r="F46" s="111"/>
      <c r="H46" s="99" t="b">
        <f>IF(C46&gt;=-1,TRUE,FALSE)</f>
        <v>1</v>
      </c>
      <c r="I46" s="99" t="b">
        <f>IF(D46&gt;=-1,TRUE,FALSE)</f>
        <v>1</v>
      </c>
      <c r="J46" s="99" t="b">
        <f>IF(E46&gt;=-1,TRUE,FALSE)</f>
        <v>1</v>
      </c>
      <c r="Y46" s="104"/>
      <c r="Z46" s="183">
        <v>0.8</v>
      </c>
      <c r="AA46" s="183">
        <v>0.2</v>
      </c>
      <c r="AB46" s="183">
        <v>0.05</v>
      </c>
    </row>
    <row r="47" spans="1:28" x14ac:dyDescent="0.45">
      <c r="A47" s="133" t="s">
        <v>112</v>
      </c>
      <c r="B47" s="102"/>
      <c r="C47" s="102"/>
      <c r="D47" s="102"/>
      <c r="E47" s="102"/>
      <c r="F47" s="102"/>
      <c r="Y47" s="102"/>
      <c r="Z47" s="102"/>
      <c r="AA47" s="102"/>
      <c r="AB47" s="102"/>
    </row>
    <row r="48" spans="1:28" ht="16.5" customHeight="1" thickBot="1" x14ac:dyDescent="0.5">
      <c r="A48" s="138" t="str">
        <f>CONCATENATE("  Total # of source codes sold")</f>
        <v xml:space="preserve">  Total # of source codes sold</v>
      </c>
      <c r="B48" s="178">
        <f>ROUND(2*(1+$B$8),0)</f>
        <v>2</v>
      </c>
      <c r="C48" s="129">
        <f>ROUND(B48+B48*C49,0)</f>
        <v>4</v>
      </c>
      <c r="D48" s="129">
        <f>ROUND(C48+C48*D49,0)</f>
        <v>5</v>
      </c>
      <c r="E48" s="129">
        <f>ROUND(D48+D48*E49,0)</f>
        <v>5</v>
      </c>
      <c r="F48" s="102"/>
      <c r="G48" s="99" t="b">
        <f>IF(B48&gt;=0,TRUE,FALSE)</f>
        <v>1</v>
      </c>
      <c r="Y48" s="178"/>
      <c r="Z48" s="129"/>
      <c r="AA48" s="129"/>
      <c r="AB48" s="129"/>
    </row>
    <row r="49" spans="1:28" ht="15.75" thickBot="1" x14ac:dyDescent="0.5">
      <c r="A49" s="138" t="str">
        <f>CONCATENATE("  Sales Increase/Decrease")</f>
        <v xml:space="preserve">  Sales Increase/Decrease</v>
      </c>
      <c r="B49" s="101"/>
      <c r="C49" s="183">
        <v>0.8</v>
      </c>
      <c r="D49" s="183">
        <v>0.2</v>
      </c>
      <c r="E49" s="183">
        <v>0.05</v>
      </c>
      <c r="F49" s="101"/>
      <c r="H49" s="99" t="b">
        <f>IF(C49&gt;=-1,TRUE,FALSE)</f>
        <v>1</v>
      </c>
      <c r="I49" s="99" t="b">
        <f>IF(D49&gt;=-1,TRUE,FALSE)</f>
        <v>1</v>
      </c>
      <c r="J49" s="99" t="b">
        <f>IF(E49&gt;=-1,TRUE,FALSE)</f>
        <v>1</v>
      </c>
      <c r="Y49" s="101"/>
      <c r="Z49" s="183">
        <v>0.8</v>
      </c>
      <c r="AA49" s="183">
        <v>0.2</v>
      </c>
      <c r="AB49" s="183">
        <v>0.05</v>
      </c>
    </row>
    <row r="50" spans="1:28" ht="15.75" thickBot="1" x14ac:dyDescent="0.5">
      <c r="A50" s="133" t="s">
        <v>115</v>
      </c>
      <c r="B50" s="101"/>
      <c r="C50" s="101"/>
      <c r="D50" s="101"/>
      <c r="E50" s="101"/>
      <c r="F50" s="101"/>
      <c r="Y50" s="101"/>
      <c r="Z50" s="101"/>
      <c r="AA50" s="101"/>
      <c r="AB50" s="101"/>
    </row>
    <row r="51" spans="1:28" ht="15.75" thickBot="1" x14ac:dyDescent="0.5">
      <c r="A51" s="138" t="str">
        <f>CONCATENATE("  6 month license")</f>
        <v xml:space="preserve">  6 month license</v>
      </c>
      <c r="B51" s="101"/>
      <c r="C51" s="183">
        <v>0.25</v>
      </c>
      <c r="D51" s="183">
        <v>0.04</v>
      </c>
      <c r="E51" s="183">
        <v>0.04</v>
      </c>
      <c r="F51" s="101"/>
      <c r="H51" s="99" t="b">
        <f t="shared" ref="H51:J55" si="0">IF(C51&gt;=-1,TRUE,FALSE)</f>
        <v>1</v>
      </c>
      <c r="I51" s="99" t="b">
        <f t="shared" si="0"/>
        <v>1</v>
      </c>
      <c r="J51" s="99" t="b">
        <f t="shared" si="0"/>
        <v>1</v>
      </c>
      <c r="Y51" s="101"/>
      <c r="Z51" s="183">
        <v>0.25</v>
      </c>
      <c r="AA51" s="183">
        <v>0.04</v>
      </c>
      <c r="AB51" s="183">
        <v>0.04</v>
      </c>
    </row>
    <row r="52" spans="1:28" ht="15.75" thickBot="1" x14ac:dyDescent="0.5">
      <c r="A52" s="138" t="str">
        <f>CONCATENATE("  1 year license")</f>
        <v xml:space="preserve">  1 year license</v>
      </c>
      <c r="B52" s="101"/>
      <c r="C52" s="183">
        <v>0.25</v>
      </c>
      <c r="D52" s="183">
        <v>0.04</v>
      </c>
      <c r="E52" s="183">
        <v>0.04</v>
      </c>
      <c r="F52" s="101"/>
      <c r="H52" s="99" t="b">
        <f t="shared" si="0"/>
        <v>1</v>
      </c>
      <c r="I52" s="99" t="b">
        <f t="shared" si="0"/>
        <v>1</v>
      </c>
      <c r="J52" s="99" t="b">
        <f t="shared" si="0"/>
        <v>1</v>
      </c>
      <c r="Y52" s="101"/>
      <c r="Z52" s="183">
        <v>0.25</v>
      </c>
      <c r="AA52" s="183">
        <v>0.04</v>
      </c>
      <c r="AB52" s="183">
        <v>0.04</v>
      </c>
    </row>
    <row r="53" spans="1:28" ht="15.75" thickBot="1" x14ac:dyDescent="0.5">
      <c r="A53" s="138" t="str">
        <f>CONCATENATE("  3 year license")</f>
        <v xml:space="preserve">  3 year license</v>
      </c>
      <c r="B53" s="101"/>
      <c r="C53" s="183">
        <v>0.25</v>
      </c>
      <c r="D53" s="183">
        <v>0.04</v>
      </c>
      <c r="E53" s="183">
        <v>0.04</v>
      </c>
      <c r="F53" s="101"/>
      <c r="H53" s="99" t="b">
        <f t="shared" si="0"/>
        <v>1</v>
      </c>
      <c r="I53" s="99" t="b">
        <f t="shared" si="0"/>
        <v>1</v>
      </c>
      <c r="J53" s="99" t="b">
        <f t="shared" si="0"/>
        <v>1</v>
      </c>
      <c r="Y53" s="101"/>
      <c r="Z53" s="183">
        <v>0.25</v>
      </c>
      <c r="AA53" s="183">
        <v>0.04</v>
      </c>
      <c r="AB53" s="183">
        <v>0.04</v>
      </c>
    </row>
    <row r="54" spans="1:28" ht="15.75" thickBot="1" x14ac:dyDescent="0.5">
      <c r="A54" s="138" t="str">
        <f>CONCATENATE("  permanent license")</f>
        <v xml:space="preserve">  permanent license</v>
      </c>
      <c r="B54" s="101"/>
      <c r="C54" s="183">
        <v>0.25</v>
      </c>
      <c r="D54" s="183">
        <v>0.04</v>
      </c>
      <c r="E54" s="183">
        <v>0.04</v>
      </c>
      <c r="F54" s="115"/>
      <c r="H54" s="99" t="b">
        <f t="shared" si="0"/>
        <v>1</v>
      </c>
      <c r="I54" s="99" t="b">
        <f t="shared" si="0"/>
        <v>1</v>
      </c>
      <c r="J54" s="99" t="b">
        <f t="shared" si="0"/>
        <v>1</v>
      </c>
      <c r="Y54" s="101"/>
      <c r="Z54" s="183">
        <v>0.25</v>
      </c>
      <c r="AA54" s="183">
        <v>0.04</v>
      </c>
      <c r="AB54" s="183">
        <v>0.04</v>
      </c>
    </row>
    <row r="55" spans="1:28" ht="15.75" thickBot="1" x14ac:dyDescent="0.5">
      <c r="A55" s="138" t="str">
        <f>CONCATENATE("  source code")</f>
        <v xml:space="preserve">  source code</v>
      </c>
      <c r="B55" s="101"/>
      <c r="C55" s="183">
        <v>0.25</v>
      </c>
      <c r="D55" s="183">
        <v>0.04</v>
      </c>
      <c r="E55" s="183">
        <v>0.04</v>
      </c>
      <c r="F55" s="115"/>
      <c r="H55" s="99" t="b">
        <f t="shared" si="0"/>
        <v>1</v>
      </c>
      <c r="I55" s="99" t="b">
        <f t="shared" si="0"/>
        <v>1</v>
      </c>
      <c r="J55" s="99" t="b">
        <f t="shared" si="0"/>
        <v>1</v>
      </c>
      <c r="Y55" s="101"/>
      <c r="Z55" s="183">
        <v>0.25</v>
      </c>
      <c r="AA55" s="183">
        <v>0.04</v>
      </c>
      <c r="AB55" s="183">
        <v>0.04</v>
      </c>
    </row>
    <row r="56" spans="1:28" x14ac:dyDescent="0.45">
      <c r="A56" s="105"/>
      <c r="B56" s="104"/>
      <c r="C56" s="104"/>
      <c r="D56" s="104"/>
      <c r="E56" s="104"/>
      <c r="F56" s="104"/>
      <c r="Y56" s="104"/>
      <c r="Z56" s="104"/>
      <c r="AA56" s="104"/>
      <c r="AB56" s="104"/>
    </row>
    <row r="57" spans="1:28" x14ac:dyDescent="0.45">
      <c r="A57" s="98" t="s">
        <v>116</v>
      </c>
      <c r="B57" s="106"/>
      <c r="C57" s="118"/>
      <c r="D57" s="104"/>
      <c r="E57" s="118"/>
      <c r="F57" s="104"/>
      <c r="Y57" s="106"/>
      <c r="Z57" s="118"/>
      <c r="AA57" s="104"/>
      <c r="AB57" s="118"/>
    </row>
    <row r="58" spans="1:28" ht="15.75" thickBot="1" x14ac:dyDescent="0.5">
      <c r="A58" s="139" t="s">
        <v>118</v>
      </c>
      <c r="B58" s="182"/>
      <c r="C58" s="124">
        <f>(C99-B99)/B99</f>
        <v>0.1504561403508772</v>
      </c>
      <c r="D58" s="124">
        <f>(D99-C99)/C99</f>
        <v>3.9990240331828721E-2</v>
      </c>
      <c r="E58" s="124">
        <f>(E99-D99)/D99</f>
        <v>4.0000938438438438E-2</v>
      </c>
      <c r="F58" s="109"/>
      <c r="Y58" s="182"/>
      <c r="Z58" s="124"/>
      <c r="AA58" s="124"/>
      <c r="AB58" s="124"/>
    </row>
    <row r="59" spans="1:28" ht="15.75" hidden="1" outlineLevel="1" thickBot="1" x14ac:dyDescent="0.5">
      <c r="A59" s="140" t="str">
        <f>CONCATENATE("  Technician / Programmer")</f>
        <v xml:space="preserve">  Technician / Programmer</v>
      </c>
      <c r="B59" s="182"/>
      <c r="C59" s="186">
        <v>0.04</v>
      </c>
      <c r="D59" s="186">
        <v>0.04</v>
      </c>
      <c r="E59" s="186">
        <v>0.04</v>
      </c>
      <c r="H59" s="99" t="b">
        <f t="shared" ref="H59:J61" si="1">IF(C59&gt;=-1,TRUE,FALSE)</f>
        <v>1</v>
      </c>
      <c r="I59" s="99" t="b">
        <f t="shared" si="1"/>
        <v>1</v>
      </c>
      <c r="J59" s="99" t="b">
        <f t="shared" si="1"/>
        <v>1</v>
      </c>
      <c r="Y59" s="182"/>
      <c r="Z59" s="186">
        <v>0.04</v>
      </c>
      <c r="AA59" s="186">
        <v>0.04</v>
      </c>
      <c r="AB59" s="186">
        <v>0.04</v>
      </c>
    </row>
    <row r="60" spans="1:28" ht="15.75" hidden="1" outlineLevel="1" thickBot="1" x14ac:dyDescent="0.5">
      <c r="A60" s="140" t="str">
        <f>CONCATENATE("  Client Relations Officer")</f>
        <v xml:space="preserve">  Client Relations Officer</v>
      </c>
      <c r="B60" s="182"/>
      <c r="C60" s="186">
        <v>0.13</v>
      </c>
      <c r="D60" s="186">
        <v>0.04</v>
      </c>
      <c r="E60" s="186">
        <v>0.04</v>
      </c>
      <c r="H60" s="99" t="b">
        <f t="shared" si="1"/>
        <v>1</v>
      </c>
      <c r="I60" s="99" t="b">
        <f t="shared" si="1"/>
        <v>1</v>
      </c>
      <c r="J60" s="99" t="b">
        <f t="shared" si="1"/>
        <v>1</v>
      </c>
      <c r="Y60" s="182"/>
      <c r="Z60" s="186">
        <v>0.13</v>
      </c>
      <c r="AA60" s="186">
        <v>0.04</v>
      </c>
      <c r="AB60" s="186">
        <v>0.04</v>
      </c>
    </row>
    <row r="61" spans="1:28" ht="15.75" hidden="1" outlineLevel="1" thickBot="1" x14ac:dyDescent="0.5">
      <c r="A61" s="140" t="str">
        <f>CONCATENATE("  Salesperson")</f>
        <v xml:space="preserve">  Salesperson</v>
      </c>
      <c r="B61" s="182"/>
      <c r="C61" s="187">
        <v>0.37</v>
      </c>
      <c r="D61" s="187">
        <v>0.04</v>
      </c>
      <c r="E61" s="187">
        <v>0.04</v>
      </c>
      <c r="H61" s="99" t="b">
        <f t="shared" si="1"/>
        <v>1</v>
      </c>
      <c r="I61" s="99" t="b">
        <f t="shared" si="1"/>
        <v>1</v>
      </c>
      <c r="J61" s="99" t="b">
        <f t="shared" si="1"/>
        <v>1</v>
      </c>
      <c r="Y61" s="182"/>
      <c r="Z61" s="187">
        <v>0.37</v>
      </c>
      <c r="AA61" s="187">
        <v>0.04</v>
      </c>
      <c r="AB61" s="187">
        <v>0.04</v>
      </c>
    </row>
    <row r="62" spans="1:28" ht="15.75" collapsed="1" thickBot="1" x14ac:dyDescent="0.5">
      <c r="A62" s="139" t="s">
        <v>125</v>
      </c>
      <c r="B62" s="188">
        <v>0.2</v>
      </c>
      <c r="C62" s="188">
        <v>0.2</v>
      </c>
      <c r="D62" s="188">
        <v>0.2</v>
      </c>
      <c r="E62" s="188">
        <v>0.2</v>
      </c>
      <c r="F62" s="107"/>
      <c r="G62" s="99" t="b">
        <f>IF(AND(B62&gt;=0,B62&lt;=1),TRUE,FALSE)</f>
        <v>1</v>
      </c>
      <c r="H62" s="99" t="b">
        <f>IF(AND(C62&gt;=0,C62&lt;=1),TRUE,FALSE)</f>
        <v>1</v>
      </c>
      <c r="I62" s="99" t="b">
        <f>IF(AND(D62&gt;=0,D62&lt;=1),TRUE,FALSE)</f>
        <v>1</v>
      </c>
      <c r="J62" s="99" t="b">
        <f>IF(AND(E62&gt;=0,E62&lt;=1),TRUE,FALSE)</f>
        <v>1</v>
      </c>
      <c r="Y62" s="188">
        <v>0.2</v>
      </c>
      <c r="Z62" s="188">
        <v>0.2</v>
      </c>
      <c r="AA62" s="188">
        <v>0.2</v>
      </c>
      <c r="AB62" s="188">
        <v>0.2</v>
      </c>
    </row>
    <row r="63" spans="1:28" x14ac:dyDescent="0.45">
      <c r="A63" s="139" t="s">
        <v>120</v>
      </c>
      <c r="B63" s="104"/>
      <c r="C63" s="124">
        <f>(C104-B104)/B104</f>
        <v>0.98683115917659359</v>
      </c>
      <c r="D63" s="124">
        <f>(D104-C104)/C104</f>
        <v>0.78136599851521904</v>
      </c>
      <c r="E63" s="124">
        <f>(E104-D104)/D104</f>
        <v>0.43175661596165865</v>
      </c>
      <c r="F63" s="109"/>
      <c r="I63" s="127"/>
      <c r="Y63" s="104"/>
      <c r="Z63" s="124"/>
      <c r="AA63" s="124"/>
      <c r="AB63" s="124"/>
    </row>
    <row r="64" spans="1:28" ht="15.75" hidden="1" outlineLevel="1" thickBot="1" x14ac:dyDescent="0.5">
      <c r="A64" s="140" t="str">
        <f>CONCATENATE("  % Sold of Total Sales")</f>
        <v xml:space="preserve">  % Sold of Total Sales</v>
      </c>
      <c r="B64" s="188">
        <v>0.3</v>
      </c>
      <c r="C64" s="188">
        <v>0.3</v>
      </c>
      <c r="D64" s="188">
        <v>0.4</v>
      </c>
      <c r="E64" s="188">
        <v>0.5</v>
      </c>
      <c r="G64" s="99" t="b">
        <f>IF(AND(B64&gt;=0,B64&lt;=1),TRUE,FALSE)</f>
        <v>1</v>
      </c>
      <c r="H64" s="99" t="b">
        <f>IF(AND(C64&gt;=0,C64&lt;=1),TRUE,FALSE)</f>
        <v>1</v>
      </c>
      <c r="I64" s="99" t="b">
        <f>IF(AND(D64&gt;=0,D64&lt;=1),TRUE,FALSE)</f>
        <v>1</v>
      </c>
      <c r="J64" s="99" t="b">
        <f>IF(AND(E64&gt;=0,E64&lt;=1),TRUE,FALSE)</f>
        <v>1</v>
      </c>
      <c r="Y64" s="188">
        <v>0.3</v>
      </c>
      <c r="Z64" s="188">
        <v>0.3</v>
      </c>
      <c r="AA64" s="188">
        <v>0.4</v>
      </c>
      <c r="AB64" s="188">
        <v>0.5</v>
      </c>
    </row>
    <row r="65" spans="1:28" hidden="1" outlineLevel="1" x14ac:dyDescent="0.45">
      <c r="A65" s="140" t="str">
        <f>CONCATENATE("  Commission")</f>
        <v xml:space="preserve">  Commission</v>
      </c>
      <c r="B65" s="182">
        <f>10%*(1+$B$9)</f>
        <v>0.1</v>
      </c>
      <c r="C65" s="182">
        <f>10%*(1+$B$9)</f>
        <v>0.1</v>
      </c>
      <c r="D65" s="182">
        <f>10%*(1+$B$9)</f>
        <v>0.1</v>
      </c>
      <c r="E65" s="182">
        <f>10%*(1+$B$9)</f>
        <v>0.1</v>
      </c>
      <c r="Y65" s="182"/>
      <c r="Z65" s="182"/>
      <c r="AA65" s="182"/>
      <c r="AB65" s="182"/>
    </row>
    <row r="66" spans="1:28" collapsed="1" x14ac:dyDescent="0.45">
      <c r="A66" s="139" t="s">
        <v>119</v>
      </c>
      <c r="B66" s="104"/>
      <c r="C66" s="124">
        <f>(C105-B105)/B105</f>
        <v>1.8181818181818181E-2</v>
      </c>
      <c r="D66" s="124">
        <f>(D105-C105)/C105</f>
        <v>-5.7959183673469368E-2</v>
      </c>
      <c r="E66" s="124">
        <f>(E105-D105)/D105</f>
        <v>-6.0736568457538997E-2</v>
      </c>
      <c r="F66" s="109"/>
      <c r="Y66" s="104"/>
      <c r="Z66" s="124"/>
      <c r="AA66" s="124"/>
      <c r="AB66" s="124"/>
    </row>
    <row r="67" spans="1:28" ht="15.75" hidden="1" outlineLevel="1" thickBot="1" x14ac:dyDescent="0.5">
      <c r="A67" s="140" t="str">
        <f>CONCATENATE("  Online-Marketing")</f>
        <v xml:space="preserve">  Online-Marketing</v>
      </c>
      <c r="B67" s="182"/>
      <c r="C67" s="186">
        <v>0.04</v>
      </c>
      <c r="D67" s="186">
        <v>0.04</v>
      </c>
      <c r="E67" s="186">
        <v>0.04</v>
      </c>
      <c r="H67" s="99" t="b">
        <f>IF(C67&gt;=-1,TRUE,FALSE)</f>
        <v>1</v>
      </c>
      <c r="I67" s="99" t="b">
        <f>IF(D67&gt;=-1,TRUE,FALSE)</f>
        <v>1</v>
      </c>
      <c r="J67" s="99" t="b">
        <f>IF(E67&gt;=-1,TRUE,FALSE)</f>
        <v>1</v>
      </c>
      <c r="Y67" s="182"/>
      <c r="Z67" s="186">
        <v>0.04</v>
      </c>
      <c r="AA67" s="186">
        <v>0.04</v>
      </c>
      <c r="AB67" s="186">
        <v>0.04</v>
      </c>
    </row>
    <row r="68" spans="1:28" hidden="1" outlineLevel="1" x14ac:dyDescent="0.45">
      <c r="A68" s="140" t="str">
        <f>CONCATENATE("  Travel Expenses (Sales Presentations)")</f>
        <v xml:space="preserve">  Travel Expenses (Sales Presentations)</v>
      </c>
      <c r="B68" s="104"/>
      <c r="C68" s="104">
        <v>0</v>
      </c>
      <c r="D68" s="104">
        <f>-1+(1-D64)/(1-C64)</f>
        <v>-0.14285714285714279</v>
      </c>
      <c r="E68" s="104">
        <f>-1+(1-E64)/(1-D64)</f>
        <v>-0.16666666666666663</v>
      </c>
      <c r="Y68" s="104"/>
      <c r="Z68" s="104"/>
      <c r="AA68" s="104"/>
      <c r="AB68" s="104"/>
    </row>
    <row r="69" spans="1:28" collapsed="1" x14ac:dyDescent="0.45">
      <c r="A69" s="139" t="s">
        <v>41</v>
      </c>
      <c r="B69" s="104"/>
      <c r="C69" s="124">
        <f>(C108-B108)/B108</f>
        <v>0.04</v>
      </c>
      <c r="D69" s="124">
        <f>(D108-C108)/C108</f>
        <v>3.9999999999999918E-2</v>
      </c>
      <c r="E69" s="124">
        <f>(E108-D108)/D108</f>
        <v>4.0000000000000015E-2</v>
      </c>
      <c r="F69" s="109"/>
      <c r="Y69" s="104"/>
      <c r="Z69" s="124"/>
      <c r="AA69" s="124"/>
      <c r="AB69" s="124"/>
    </row>
    <row r="70" spans="1:28" ht="15.75" hidden="1" outlineLevel="1" thickBot="1" x14ac:dyDescent="0.5">
      <c r="A70" s="140" t="str">
        <f>CONCATENATE("  Office Rent")</f>
        <v xml:space="preserve">  Office Rent</v>
      </c>
      <c r="B70" s="182"/>
      <c r="C70" s="186">
        <v>0.04</v>
      </c>
      <c r="D70" s="186">
        <v>0.04</v>
      </c>
      <c r="E70" s="186">
        <v>0.04</v>
      </c>
      <c r="H70" s="99" t="b">
        <f t="shared" ref="H70:J75" si="2">IF(C70&gt;=-1,TRUE,FALSE)</f>
        <v>1</v>
      </c>
      <c r="I70" s="99" t="b">
        <f t="shared" si="2"/>
        <v>1</v>
      </c>
      <c r="J70" s="99" t="b">
        <f t="shared" si="2"/>
        <v>1</v>
      </c>
      <c r="Y70" s="182"/>
      <c r="Z70" s="186">
        <v>0.04</v>
      </c>
      <c r="AA70" s="186">
        <v>0.04</v>
      </c>
      <c r="AB70" s="186">
        <v>0.04</v>
      </c>
    </row>
    <row r="71" spans="1:28" ht="15.75" hidden="1" outlineLevel="1" thickBot="1" x14ac:dyDescent="0.5">
      <c r="A71" s="140" t="str">
        <f>CONCATENATE("  Telephone / Internet")</f>
        <v xml:space="preserve">  Telephone / Internet</v>
      </c>
      <c r="B71" s="182"/>
      <c r="C71" s="186">
        <v>0.04</v>
      </c>
      <c r="D71" s="186">
        <v>0.04</v>
      </c>
      <c r="E71" s="186">
        <v>0.04</v>
      </c>
      <c r="H71" s="99" t="b">
        <f t="shared" si="2"/>
        <v>1</v>
      </c>
      <c r="I71" s="99" t="b">
        <f t="shared" si="2"/>
        <v>1</v>
      </c>
      <c r="J71" s="99" t="b">
        <f t="shared" si="2"/>
        <v>1</v>
      </c>
      <c r="Y71" s="182"/>
      <c r="Z71" s="186">
        <v>0.04</v>
      </c>
      <c r="AA71" s="186">
        <v>0.04</v>
      </c>
      <c r="AB71" s="186">
        <v>0.04</v>
      </c>
    </row>
    <row r="72" spans="1:28" ht="15.75" hidden="1" outlineLevel="1" thickBot="1" x14ac:dyDescent="0.5">
      <c r="A72" s="140" t="str">
        <f>CONCATENATE("  Office Supplies")</f>
        <v xml:space="preserve">  Office Supplies</v>
      </c>
      <c r="B72" s="182"/>
      <c r="C72" s="186">
        <v>0.04</v>
      </c>
      <c r="D72" s="186">
        <v>0.04</v>
      </c>
      <c r="E72" s="186">
        <v>0.04</v>
      </c>
      <c r="H72" s="99" t="b">
        <f t="shared" si="2"/>
        <v>1</v>
      </c>
      <c r="I72" s="99" t="b">
        <f t="shared" si="2"/>
        <v>1</v>
      </c>
      <c r="J72" s="99" t="b">
        <f t="shared" si="2"/>
        <v>1</v>
      </c>
      <c r="Y72" s="182"/>
      <c r="Z72" s="186">
        <v>0.04</v>
      </c>
      <c r="AA72" s="186">
        <v>0.04</v>
      </c>
      <c r="AB72" s="186">
        <v>0.04</v>
      </c>
    </row>
    <row r="73" spans="1:28" ht="15.75" hidden="1" outlineLevel="1" thickBot="1" x14ac:dyDescent="0.5">
      <c r="A73" s="140" t="str">
        <f>CONCATENATE("  Legal Counseling")</f>
        <v xml:space="preserve">  Legal Counseling</v>
      </c>
      <c r="B73" s="182"/>
      <c r="C73" s="186">
        <v>0.04</v>
      </c>
      <c r="D73" s="186">
        <v>0.04</v>
      </c>
      <c r="E73" s="186">
        <v>0.04</v>
      </c>
      <c r="H73" s="99" t="b">
        <f t="shared" si="2"/>
        <v>1</v>
      </c>
      <c r="I73" s="99" t="b">
        <f t="shared" si="2"/>
        <v>1</v>
      </c>
      <c r="J73" s="99" t="b">
        <f t="shared" si="2"/>
        <v>1</v>
      </c>
      <c r="Y73" s="182"/>
      <c r="Z73" s="186">
        <v>0.04</v>
      </c>
      <c r="AA73" s="186">
        <v>0.04</v>
      </c>
      <c r="AB73" s="186">
        <v>0.04</v>
      </c>
    </row>
    <row r="74" spans="1:28" ht="15.75" hidden="1" outlineLevel="1" thickBot="1" x14ac:dyDescent="0.5">
      <c r="A74" s="140" t="str">
        <f>CONCATENATE("  Audit Fee")</f>
        <v xml:space="preserve">  Audit Fee</v>
      </c>
      <c r="B74" s="182"/>
      <c r="C74" s="186">
        <v>0.04</v>
      </c>
      <c r="D74" s="186">
        <v>0.04</v>
      </c>
      <c r="E74" s="186">
        <v>0.04</v>
      </c>
      <c r="H74" s="99" t="b">
        <f t="shared" si="2"/>
        <v>1</v>
      </c>
      <c r="I74" s="99" t="b">
        <f t="shared" si="2"/>
        <v>1</v>
      </c>
      <c r="J74" s="99" t="b">
        <f t="shared" si="2"/>
        <v>1</v>
      </c>
      <c r="Y74" s="182"/>
      <c r="Z74" s="186">
        <v>0.04</v>
      </c>
      <c r="AA74" s="186">
        <v>0.04</v>
      </c>
      <c r="AB74" s="186">
        <v>0.04</v>
      </c>
    </row>
    <row r="75" spans="1:28" ht="15.75" hidden="1" outlineLevel="1" thickBot="1" x14ac:dyDescent="0.5">
      <c r="A75" s="140" t="str">
        <f>CONCATENATE("  Insurance")</f>
        <v xml:space="preserve">  Insurance</v>
      </c>
      <c r="B75" s="182"/>
      <c r="C75" s="186">
        <v>0.04</v>
      </c>
      <c r="D75" s="186">
        <v>0.04</v>
      </c>
      <c r="E75" s="186">
        <v>0.04</v>
      </c>
      <c r="H75" s="99" t="b">
        <f t="shared" si="2"/>
        <v>1</v>
      </c>
      <c r="I75" s="99" t="b">
        <f t="shared" si="2"/>
        <v>1</v>
      </c>
      <c r="J75" s="99" t="b">
        <f t="shared" si="2"/>
        <v>1</v>
      </c>
      <c r="Y75" s="182"/>
      <c r="Z75" s="186">
        <v>0.04</v>
      </c>
      <c r="AA75" s="186">
        <v>0.04</v>
      </c>
      <c r="AB75" s="186">
        <v>0.04</v>
      </c>
    </row>
    <row r="76" spans="1:28" collapsed="1" x14ac:dyDescent="0.45">
      <c r="A76" s="139" t="s">
        <v>44</v>
      </c>
      <c r="B76" s="104"/>
      <c r="C76" s="124">
        <f t="shared" ref="C76:E77" si="3">IF(B115&gt;0,(C115-B115)/B115,0)</f>
        <v>0</v>
      </c>
      <c r="D76" s="124">
        <f t="shared" si="3"/>
        <v>-0.76923076923076927</v>
      </c>
      <c r="E76" s="124">
        <f t="shared" si="3"/>
        <v>0</v>
      </c>
      <c r="Y76" s="104"/>
      <c r="Z76" s="124"/>
      <c r="AA76" s="124"/>
      <c r="AB76" s="124"/>
    </row>
    <row r="77" spans="1:28" hidden="1" outlineLevel="1" x14ac:dyDescent="0.45">
      <c r="A77" s="140" t="str">
        <f>CONCATENATE("  Computer/Server")</f>
        <v xml:space="preserve">  Computer/Server</v>
      </c>
      <c r="B77" s="104"/>
      <c r="C77" s="104">
        <f t="shared" si="3"/>
        <v>0</v>
      </c>
      <c r="D77" s="104">
        <f t="shared" si="3"/>
        <v>0</v>
      </c>
      <c r="E77" s="104">
        <f t="shared" si="3"/>
        <v>0</v>
      </c>
      <c r="Y77" s="104"/>
      <c r="Z77" s="104"/>
      <c r="AA77" s="104"/>
      <c r="AB77" s="104"/>
    </row>
    <row r="78" spans="1:28" hidden="1" outlineLevel="1" x14ac:dyDescent="0.45">
      <c r="A78" s="140" t="str">
        <f>CONCATENATE("  Computer Equipment")</f>
        <v xml:space="preserve">  Computer Equipment</v>
      </c>
      <c r="B78" s="104"/>
      <c r="C78" s="104">
        <f t="shared" ref="C78:E79" si="4">IF(B117&gt;0,(C117-B117)/B117,0)</f>
        <v>0</v>
      </c>
      <c r="D78" s="104">
        <f t="shared" si="4"/>
        <v>0</v>
      </c>
      <c r="E78" s="104">
        <f t="shared" si="4"/>
        <v>0</v>
      </c>
      <c r="Y78" s="104"/>
      <c r="Z78" s="104"/>
      <c r="AA78" s="104"/>
      <c r="AB78" s="104"/>
    </row>
    <row r="79" spans="1:28" hidden="1" outlineLevel="1" x14ac:dyDescent="0.45">
      <c r="A79" s="140" t="str">
        <f>CONCATENATE("  Office Furniture")</f>
        <v xml:space="preserve">  Office Furniture</v>
      </c>
      <c r="B79" s="101"/>
      <c r="C79" s="104">
        <f t="shared" si="4"/>
        <v>0</v>
      </c>
      <c r="D79" s="104">
        <f t="shared" si="4"/>
        <v>-1</v>
      </c>
      <c r="E79" s="104">
        <f t="shared" si="4"/>
        <v>0</v>
      </c>
      <c r="Y79" s="101"/>
      <c r="Z79" s="104"/>
      <c r="AA79" s="104"/>
      <c r="AB79" s="104"/>
    </row>
    <row r="80" spans="1:28" ht="15.75" collapsed="1" thickBot="1" x14ac:dyDescent="0.5">
      <c r="A80" s="139" t="s">
        <v>80</v>
      </c>
      <c r="B80" s="181">
        <f>10%*(1+$B$9)</f>
        <v>0.1</v>
      </c>
      <c r="C80" s="181">
        <f>10%*(1+$B$9)</f>
        <v>0.1</v>
      </c>
      <c r="D80" s="181">
        <f>10%*(1+$B$9)</f>
        <v>0.1</v>
      </c>
      <c r="E80" s="181">
        <f>10%*(1+$B$9)</f>
        <v>0.1</v>
      </c>
      <c r="F80" s="101"/>
      <c r="Y80" s="181">
        <v>0.1</v>
      </c>
      <c r="Z80" s="181"/>
      <c r="AA80" s="181"/>
      <c r="AB80" s="181"/>
    </row>
    <row r="81" spans="1:28" ht="15.75" thickBot="1" x14ac:dyDescent="0.5">
      <c r="A81" s="139" t="s">
        <v>101</v>
      </c>
      <c r="B81" s="188">
        <v>0.3</v>
      </c>
      <c r="C81" s="188">
        <v>0.3</v>
      </c>
      <c r="D81" s="188">
        <v>0.3</v>
      </c>
      <c r="E81" s="188">
        <v>0.3</v>
      </c>
      <c r="F81" s="101"/>
      <c r="G81" s="99" t="b">
        <f>IF(AND(B81&gt;=0,B81&lt;=1),TRUE,FALSE)</f>
        <v>1</v>
      </c>
      <c r="H81" s="99" t="b">
        <f>IF(AND(C81&gt;=0,C81&lt;=1),TRUE,FALSE)</f>
        <v>1</v>
      </c>
      <c r="I81" s="99" t="b">
        <f>IF(AND(D81&gt;=0,D81&lt;=1),TRUE,FALSE)</f>
        <v>1</v>
      </c>
      <c r="J81" s="99" t="b">
        <f>IF(AND(E81&gt;=0,E81&lt;=1),TRUE,FALSE)</f>
        <v>1</v>
      </c>
      <c r="Y81" s="188">
        <v>0.3</v>
      </c>
      <c r="Z81" s="188">
        <v>0.3</v>
      </c>
      <c r="AA81" s="188">
        <v>0.3</v>
      </c>
      <c r="AB81" s="188">
        <v>0.3</v>
      </c>
    </row>
    <row r="82" spans="1:28" x14ac:dyDescent="0.45">
      <c r="A82" s="108"/>
      <c r="B82" s="103"/>
      <c r="C82" s="103"/>
      <c r="D82" s="103"/>
      <c r="E82" s="103"/>
      <c r="F82" s="103"/>
      <c r="Y82" s="103"/>
      <c r="Z82" s="103"/>
      <c r="AA82" s="103"/>
      <c r="AB82" s="103"/>
    </row>
    <row r="83" spans="1:28" x14ac:dyDescent="0.45">
      <c r="A83" s="132"/>
      <c r="B83" s="101"/>
      <c r="C83" s="101"/>
      <c r="D83" s="101"/>
      <c r="E83" s="101"/>
      <c r="F83" s="101"/>
      <c r="Y83" s="101"/>
      <c r="Z83" s="101"/>
      <c r="AA83" s="101"/>
      <c r="AB83" s="101"/>
    </row>
    <row r="84" spans="1:28" x14ac:dyDescent="0.45">
      <c r="A84" s="98" t="s">
        <v>129</v>
      </c>
      <c r="B84" s="109"/>
      <c r="C84" s="109"/>
      <c r="F84" s="101"/>
      <c r="Y84" s="109"/>
      <c r="Z84" s="109"/>
    </row>
    <row r="85" spans="1:28" ht="17.649999999999999" x14ac:dyDescent="0.75">
      <c r="A85" s="133" t="s">
        <v>155</v>
      </c>
      <c r="B85" s="125">
        <f>SUM(B86:B89)</f>
        <v>339780</v>
      </c>
      <c r="C85" s="125">
        <f>SUM(C86:C89)</f>
        <v>580690</v>
      </c>
      <c r="D85" s="125">
        <f>SUM(D86:D89)</f>
        <v>772280</v>
      </c>
      <c r="E85" s="125">
        <f>SUM(E86:E89)</f>
        <v>891280</v>
      </c>
      <c r="F85" s="101"/>
      <c r="G85" s="114"/>
      <c r="Y85" s="125"/>
      <c r="Z85" s="125"/>
      <c r="AA85" s="125"/>
      <c r="AB85" s="125"/>
    </row>
    <row r="86" spans="1:28" x14ac:dyDescent="0.45">
      <c r="A86" s="134" t="str">
        <f>CONCATENATE("    6 month license")</f>
        <v xml:space="preserve">    6 month license</v>
      </c>
      <c r="B86" s="109">
        <f>B17*B138*(1+$B$8)</f>
        <v>46020</v>
      </c>
      <c r="C86" s="109">
        <f>C17*C138*(1+$C$8)</f>
        <v>64800</v>
      </c>
      <c r="D86" s="109">
        <f>D17*D138</f>
        <v>73080</v>
      </c>
      <c r="E86" s="109">
        <f>E17*E138</f>
        <v>71340</v>
      </c>
      <c r="F86" s="101"/>
      <c r="Y86" s="109"/>
      <c r="Z86" s="109"/>
      <c r="AA86" s="109"/>
      <c r="AB86" s="109"/>
    </row>
    <row r="87" spans="1:28" x14ac:dyDescent="0.45">
      <c r="A87" s="134" t="str">
        <f>CONCATENATE("    1 year license")</f>
        <v xml:space="preserve">    1 year license</v>
      </c>
      <c r="B87" s="109">
        <f>B20*B139*(1+$B$8)</f>
        <v>50400</v>
      </c>
      <c r="C87" s="109">
        <f>C20*C139*(1+$C$8)</f>
        <v>73640</v>
      </c>
      <c r="D87" s="109">
        <f>D20*D139</f>
        <v>87680</v>
      </c>
      <c r="E87" s="109">
        <f>E20*E139</f>
        <v>91200</v>
      </c>
      <c r="F87" s="101"/>
      <c r="Y87" s="109"/>
      <c r="Z87" s="109"/>
      <c r="AA87" s="109"/>
      <c r="AB87" s="109"/>
    </row>
    <row r="88" spans="1:28" x14ac:dyDescent="0.45">
      <c r="A88" s="134" t="str">
        <f>CONCATENATE("    3 year license")</f>
        <v xml:space="preserve">    3 year license</v>
      </c>
      <c r="B88" s="109">
        <f>B23*B140*(1+$B$8)</f>
        <v>99840</v>
      </c>
      <c r="C88" s="109">
        <f>C23*C140*(1+$C$8)</f>
        <v>172000</v>
      </c>
      <c r="D88" s="109">
        <f>D23*D140</f>
        <v>228800</v>
      </c>
      <c r="E88" s="109">
        <f>E23*E140</f>
        <v>268460</v>
      </c>
      <c r="F88" s="101"/>
      <c r="Y88" s="109"/>
      <c r="Z88" s="109"/>
      <c r="AA88" s="109"/>
      <c r="AB88" s="109"/>
    </row>
    <row r="89" spans="1:28" x14ac:dyDescent="0.45">
      <c r="A89" s="134" t="str">
        <f>CONCATENATE("    permanent license")</f>
        <v xml:space="preserve">    permanent license</v>
      </c>
      <c r="B89" s="109">
        <f>B26*B141*(1+$B$8)</f>
        <v>143520</v>
      </c>
      <c r="C89" s="109">
        <f>C26*C141*(1+$C$8)</f>
        <v>270250</v>
      </c>
      <c r="D89" s="109">
        <f>D26*D141</f>
        <v>382720</v>
      </c>
      <c r="E89" s="109">
        <f>E26*E141</f>
        <v>460280</v>
      </c>
      <c r="F89" s="101"/>
      <c r="Y89" s="109"/>
      <c r="Z89" s="109"/>
      <c r="AA89" s="109"/>
      <c r="AB89" s="109"/>
    </row>
    <row r="90" spans="1:28" ht="17.649999999999999" x14ac:dyDescent="0.75">
      <c r="A90" s="133" t="s">
        <v>151</v>
      </c>
      <c r="B90" s="125">
        <f>SUM(B91:B94)</f>
        <v>128508</v>
      </c>
      <c r="C90" s="125">
        <f>SUM(C91:C94)</f>
        <v>257380</v>
      </c>
      <c r="D90" s="125">
        <f>SUM(D91:D94)</f>
        <v>349510</v>
      </c>
      <c r="E90" s="125">
        <f>SUM(E91:E94)</f>
        <v>401760</v>
      </c>
      <c r="F90" s="101"/>
      <c r="Y90" s="125"/>
      <c r="Z90" s="125"/>
      <c r="AA90" s="125"/>
      <c r="AB90" s="125"/>
    </row>
    <row r="91" spans="1:28" x14ac:dyDescent="0.45">
      <c r="A91" s="134" t="str">
        <f>CONCATENATE("    6 month license")</f>
        <v xml:space="preserve">    6 month license</v>
      </c>
      <c r="B91" s="109">
        <f>B33*B143*(1+$B$8)</f>
        <v>17700</v>
      </c>
      <c r="C91" s="109">
        <f>C33*C143*(1+$C$8)</f>
        <v>29600</v>
      </c>
      <c r="D91" s="109">
        <f>D33*D143</f>
        <v>33110</v>
      </c>
      <c r="E91" s="109">
        <f>E33*E143</f>
        <v>32800</v>
      </c>
      <c r="F91" s="101"/>
      <c r="Y91" s="109"/>
      <c r="Z91" s="109"/>
      <c r="AA91" s="109"/>
      <c r="AB91" s="109"/>
    </row>
    <row r="92" spans="1:28" x14ac:dyDescent="0.45">
      <c r="A92" s="134" t="str">
        <f>CONCATENATE("    1 year license")</f>
        <v xml:space="preserve">    1 year license</v>
      </c>
      <c r="B92" s="109">
        <f>B36*B144*(1+$B$8)</f>
        <v>18144</v>
      </c>
      <c r="C92" s="109">
        <f>C36*C144*(1+$C$8)</f>
        <v>33040</v>
      </c>
      <c r="D92" s="109">
        <f>D36*D144</f>
        <v>39200</v>
      </c>
      <c r="E92" s="109">
        <f>E36*E144</f>
        <v>40800</v>
      </c>
      <c r="F92" s="101"/>
      <c r="Y92" s="109"/>
      <c r="Z92" s="109"/>
      <c r="AA92" s="109"/>
      <c r="AB92" s="109"/>
    </row>
    <row r="93" spans="1:28" x14ac:dyDescent="0.45">
      <c r="A93" s="134" t="str">
        <f>CONCATENATE("    3 year license")</f>
        <v xml:space="preserve">    3 year license</v>
      </c>
      <c r="B93" s="109">
        <f>B39*B145*(1+$B$8)</f>
        <v>38016</v>
      </c>
      <c r="C93" s="109">
        <f>C39*C145*(1+$C$8)</f>
        <v>75600</v>
      </c>
      <c r="D93" s="109">
        <f>D39*D145</f>
        <v>104720</v>
      </c>
      <c r="E93" s="109">
        <f>E39*E145</f>
        <v>120590</v>
      </c>
      <c r="F93" s="101"/>
      <c r="Y93" s="109"/>
      <c r="Z93" s="109"/>
      <c r="AA93" s="109"/>
      <c r="AB93" s="109"/>
    </row>
    <row r="94" spans="1:28" x14ac:dyDescent="0.45">
      <c r="A94" s="134" t="str">
        <f>CONCATENATE("    permanent license")</f>
        <v xml:space="preserve">    permanent license</v>
      </c>
      <c r="B94" s="109">
        <f>B42*B146*(1+$B$8)</f>
        <v>54648</v>
      </c>
      <c r="C94" s="109">
        <f>C42*C146*(1+$C$8)</f>
        <v>119140</v>
      </c>
      <c r="D94" s="109">
        <f>D42*D146</f>
        <v>172480</v>
      </c>
      <c r="E94" s="109">
        <f>E42*E146</f>
        <v>207570</v>
      </c>
      <c r="F94" s="101"/>
      <c r="Y94" s="109"/>
      <c r="Z94" s="109"/>
      <c r="AA94" s="109"/>
      <c r="AB94" s="109"/>
    </row>
    <row r="95" spans="1:28" ht="17.649999999999999" x14ac:dyDescent="0.75">
      <c r="A95" s="133" t="s">
        <v>114</v>
      </c>
      <c r="B95" s="126">
        <f>B48*B147*(1+$B$8)</f>
        <v>28800</v>
      </c>
      <c r="C95" s="126">
        <f>C48*C147*(1+$C$8)</f>
        <v>60000</v>
      </c>
      <c r="D95" s="126">
        <f>D48*D147</f>
        <v>78000</v>
      </c>
      <c r="E95" s="126">
        <f>E48*E147</f>
        <v>81100</v>
      </c>
      <c r="F95" s="101"/>
      <c r="Y95" s="126"/>
      <c r="Z95" s="126"/>
      <c r="AA95" s="126"/>
      <c r="AB95" s="126"/>
    </row>
    <row r="96" spans="1:28" ht="17.649999999999999" x14ac:dyDescent="0.75">
      <c r="A96" s="98" t="s">
        <v>124</v>
      </c>
      <c r="B96" s="130">
        <f>B85+B90+B95</f>
        <v>497088</v>
      </c>
      <c r="C96" s="130">
        <f>C85+C90+C95</f>
        <v>898070</v>
      </c>
      <c r="D96" s="130">
        <f>D85+D90+D95</f>
        <v>1199790</v>
      </c>
      <c r="E96" s="130">
        <f>E85+E90+E95</f>
        <v>1374140</v>
      </c>
      <c r="F96" s="101"/>
      <c r="Y96" s="130"/>
      <c r="Z96" s="130"/>
      <c r="AA96" s="130"/>
      <c r="AB96" s="130"/>
    </row>
    <row r="97" spans="1:28" x14ac:dyDescent="0.45">
      <c r="A97" s="132"/>
      <c r="B97" s="101"/>
      <c r="C97" s="101"/>
      <c r="D97" s="101"/>
      <c r="E97" s="101"/>
      <c r="F97" s="101"/>
      <c r="Y97" s="101"/>
      <c r="Z97" s="101"/>
      <c r="AA97" s="101"/>
      <c r="AB97" s="101"/>
    </row>
    <row r="98" spans="1:28" x14ac:dyDescent="0.45">
      <c r="A98" s="98" t="s">
        <v>130</v>
      </c>
      <c r="B98" s="109"/>
      <c r="C98" s="109"/>
      <c r="F98" s="111"/>
      <c r="Y98" s="109"/>
      <c r="Z98" s="109"/>
    </row>
    <row r="99" spans="1:28" ht="17.649999999999999" x14ac:dyDescent="0.75">
      <c r="A99" s="139" t="s">
        <v>118</v>
      </c>
      <c r="B99" s="120">
        <f>SUM(B100:B102)</f>
        <v>356250</v>
      </c>
      <c r="C99" s="120">
        <f>SUM(C100:C102)</f>
        <v>409850</v>
      </c>
      <c r="D99" s="120">
        <f>SUM(D100:D102)</f>
        <v>426240</v>
      </c>
      <c r="E99" s="120">
        <f>SUM(E100:E102)</f>
        <v>443290</v>
      </c>
      <c r="F99" s="109"/>
      <c r="Y99" s="120"/>
      <c r="Z99" s="120"/>
      <c r="AA99" s="120"/>
      <c r="AB99" s="120"/>
    </row>
    <row r="100" spans="1:28" hidden="1" outlineLevel="1" x14ac:dyDescent="0.45">
      <c r="A100" s="140" t="str">
        <f>CONCATENATE("  Technician / Programmer")</f>
        <v xml:space="preserve">  Technician / Programmer</v>
      </c>
      <c r="B100" s="179">
        <f>189000*(1+$B$9)</f>
        <v>189000</v>
      </c>
      <c r="C100" s="109">
        <f t="shared" ref="C100:E102" si="5">ROUND(B100+B100*C59,-1)</f>
        <v>196560</v>
      </c>
      <c r="D100" s="109">
        <f t="shared" si="5"/>
        <v>204420</v>
      </c>
      <c r="E100" s="109">
        <f t="shared" si="5"/>
        <v>212600</v>
      </c>
      <c r="Y100" s="179"/>
      <c r="Z100" s="109"/>
      <c r="AA100" s="109"/>
      <c r="AB100" s="109"/>
    </row>
    <row r="101" spans="1:28" hidden="1" outlineLevel="1" x14ac:dyDescent="0.45">
      <c r="A101" s="140" t="str">
        <f>CONCATENATE("  Client Relations Officer")</f>
        <v xml:space="preserve">  Client Relations Officer</v>
      </c>
      <c r="B101" s="179">
        <f>66000*(1+$B$9)</f>
        <v>66000</v>
      </c>
      <c r="C101" s="109">
        <f t="shared" si="5"/>
        <v>74580</v>
      </c>
      <c r="D101" s="109">
        <f t="shared" si="5"/>
        <v>77560</v>
      </c>
      <c r="E101" s="109">
        <f t="shared" si="5"/>
        <v>80660</v>
      </c>
      <c r="Y101" s="179"/>
      <c r="Z101" s="109"/>
      <c r="AA101" s="109"/>
      <c r="AB101" s="109"/>
    </row>
    <row r="102" spans="1:28" hidden="1" outlineLevel="1" x14ac:dyDescent="0.45">
      <c r="A102" s="140" t="str">
        <f>CONCATENATE("  Salesperson")</f>
        <v xml:space="preserve">  Salesperson</v>
      </c>
      <c r="B102" s="179">
        <f>101250*(1+$B$9)</f>
        <v>101250</v>
      </c>
      <c r="C102" s="109">
        <f t="shared" si="5"/>
        <v>138710</v>
      </c>
      <c r="D102" s="109">
        <f t="shared" si="5"/>
        <v>144260</v>
      </c>
      <c r="E102" s="109">
        <f t="shared" si="5"/>
        <v>150030</v>
      </c>
      <c r="Y102" s="179"/>
      <c r="Z102" s="109"/>
      <c r="AA102" s="109"/>
      <c r="AB102" s="109"/>
    </row>
    <row r="103" spans="1:28" ht="17.649999999999999" collapsed="1" x14ac:dyDescent="0.75">
      <c r="A103" s="139" t="s">
        <v>117</v>
      </c>
      <c r="B103" s="180">
        <f>B99/(1-B62)-B99</f>
        <v>89062.5</v>
      </c>
      <c r="C103" s="125">
        <f>C99/(1-C62)-C99</f>
        <v>102462.5</v>
      </c>
      <c r="D103" s="125">
        <f>D99/(1-D62)-D99</f>
        <v>106560</v>
      </c>
      <c r="E103" s="125">
        <f>E99/(1-E62)-E99</f>
        <v>110822.5</v>
      </c>
      <c r="Y103" s="180"/>
      <c r="Z103" s="125"/>
      <c r="AA103" s="125"/>
      <c r="AB103" s="125"/>
    </row>
    <row r="104" spans="1:28" ht="17.649999999999999" x14ac:dyDescent="0.75">
      <c r="A104" s="139" t="s">
        <v>120</v>
      </c>
      <c r="B104" s="180">
        <f>ROUND(B64*B65*(B85+B90+B95),-1)-'Sales Projections_Total'!H8*'5 Year Plan'!B64*'5 Year Plan'!B65-'Sales Projections_Total'!H9*'5 Year Plan'!B64*'5 Year Plan'!B65-'Sales Projections_Total'!H10*'5 Year Plan'!B64*'5 Year Plan'!B65</f>
        <v>13559.279999999999</v>
      </c>
      <c r="C104" s="125">
        <f>ROUND(C64*C65*(C85+C90+C95),-1)</f>
        <v>26940</v>
      </c>
      <c r="D104" s="125">
        <f>ROUND(D64*D65*(D85+D90+D95),-1)</f>
        <v>47990</v>
      </c>
      <c r="E104" s="125">
        <f>ROUND(E64*E65*(E85+E90+E95),-1)</f>
        <v>68710</v>
      </c>
      <c r="F104" s="109"/>
      <c r="Y104" s="180"/>
      <c r="Z104" s="125"/>
      <c r="AA104" s="125"/>
      <c r="AB104" s="125"/>
    </row>
    <row r="105" spans="1:28" ht="17.649999999999999" x14ac:dyDescent="0.75">
      <c r="A105" s="139" t="s">
        <v>119</v>
      </c>
      <c r="B105" s="123">
        <f>SUM(B106:B107)</f>
        <v>88000</v>
      </c>
      <c r="C105" s="123">
        <f>SUM(C106:C107)</f>
        <v>89600</v>
      </c>
      <c r="D105" s="123">
        <f>SUM(D106:D107)</f>
        <v>84406.857142857145</v>
      </c>
      <c r="E105" s="123">
        <f>SUM(E106:E107)</f>
        <v>79280.274285714288</v>
      </c>
      <c r="F105" s="109"/>
      <c r="Y105" s="123"/>
      <c r="Z105" s="123"/>
      <c r="AA105" s="123"/>
      <c r="AB105" s="123"/>
    </row>
    <row r="106" spans="1:28" hidden="1" outlineLevel="1" x14ac:dyDescent="0.45">
      <c r="A106" s="140" t="str">
        <f>CONCATENATE("  Online-Marketing")</f>
        <v xml:space="preserve">  Online-Marketing</v>
      </c>
      <c r="B106" s="179">
        <f>40000*(1+$B$9)</f>
        <v>40000</v>
      </c>
      <c r="C106" s="109">
        <f t="shared" ref="C106:E107" si="6">B106+B106*C67</f>
        <v>41600</v>
      </c>
      <c r="D106" s="109">
        <f t="shared" si="6"/>
        <v>43264</v>
      </c>
      <c r="E106" s="109">
        <f t="shared" si="6"/>
        <v>44994.559999999998</v>
      </c>
      <c r="F106" s="121"/>
      <c r="Y106" s="179"/>
      <c r="Z106" s="109"/>
      <c r="AA106" s="109"/>
      <c r="AB106" s="109"/>
    </row>
    <row r="107" spans="1:28" hidden="1" outlineLevel="1" x14ac:dyDescent="0.45">
      <c r="A107" s="140" t="str">
        <f>CONCATENATE("  Travel Expenses (Sales Presentations)")</f>
        <v xml:space="preserve">  Travel Expenses (Sales Presentations)</v>
      </c>
      <c r="B107" s="179">
        <f>48000*(1+$B$9)</f>
        <v>48000</v>
      </c>
      <c r="C107" s="109">
        <f t="shared" si="6"/>
        <v>48000</v>
      </c>
      <c r="D107" s="109">
        <f t="shared" si="6"/>
        <v>41142.857142857145</v>
      </c>
      <c r="E107" s="109">
        <f t="shared" si="6"/>
        <v>34285.71428571429</v>
      </c>
      <c r="F107" s="121"/>
      <c r="Y107" s="179"/>
      <c r="Z107" s="109"/>
      <c r="AA107" s="109"/>
      <c r="AB107" s="109"/>
    </row>
    <row r="108" spans="1:28" ht="17.649999999999999" collapsed="1" x14ac:dyDescent="0.75">
      <c r="A108" s="139" t="s">
        <v>41</v>
      </c>
      <c r="B108" s="123">
        <f>SUM(B109:B114)</f>
        <v>127200</v>
      </c>
      <c r="C108" s="123">
        <f>SUM(C109:C114)</f>
        <v>132288</v>
      </c>
      <c r="D108" s="123">
        <f>SUM(D109:D114)</f>
        <v>137579.51999999999</v>
      </c>
      <c r="E108" s="123">
        <f>SUM(E109:E114)</f>
        <v>143082.70079999999</v>
      </c>
      <c r="F108" s="109"/>
      <c r="Y108" s="123"/>
      <c r="Z108" s="123"/>
      <c r="AA108" s="123"/>
      <c r="AB108" s="123"/>
    </row>
    <row r="109" spans="1:28" hidden="1" outlineLevel="1" x14ac:dyDescent="0.45">
      <c r="A109" s="140" t="str">
        <f>CONCATENATE("  Office Rent")</f>
        <v xml:space="preserve">  Office Rent</v>
      </c>
      <c r="B109" s="179">
        <f>72000*(1+$B$9)</f>
        <v>72000</v>
      </c>
      <c r="C109" s="109">
        <f t="shared" ref="C109:E114" si="7">B109+B109*C70</f>
        <v>74880</v>
      </c>
      <c r="D109" s="109">
        <f t="shared" si="7"/>
        <v>77875.199999999997</v>
      </c>
      <c r="E109" s="109">
        <f t="shared" si="7"/>
        <v>80990.207999999999</v>
      </c>
      <c r="Y109" s="179"/>
      <c r="Z109" s="109"/>
      <c r="AA109" s="109"/>
      <c r="AB109" s="109"/>
    </row>
    <row r="110" spans="1:28" hidden="1" outlineLevel="1" x14ac:dyDescent="0.45">
      <c r="A110" s="140" t="str">
        <f>CONCATENATE("  Telephone / Internet")</f>
        <v xml:space="preserve">  Telephone / Internet</v>
      </c>
      <c r="B110" s="179">
        <f>24000*(1+$B$9)</f>
        <v>24000</v>
      </c>
      <c r="C110" s="109">
        <f t="shared" si="7"/>
        <v>24960</v>
      </c>
      <c r="D110" s="109">
        <f t="shared" si="7"/>
        <v>25958.400000000001</v>
      </c>
      <c r="E110" s="109">
        <f t="shared" si="7"/>
        <v>26996.736000000001</v>
      </c>
      <c r="Y110" s="179"/>
      <c r="Z110" s="109"/>
      <c r="AA110" s="109"/>
      <c r="AB110" s="109"/>
    </row>
    <row r="111" spans="1:28" hidden="1" outlineLevel="1" x14ac:dyDescent="0.45">
      <c r="A111" s="140" t="str">
        <f>CONCATENATE("  Office Supplies")</f>
        <v xml:space="preserve">  Office Supplies</v>
      </c>
      <c r="B111" s="179">
        <f>4800*(1+$B$9)</f>
        <v>4800</v>
      </c>
      <c r="C111" s="109">
        <f t="shared" si="7"/>
        <v>4992</v>
      </c>
      <c r="D111" s="109">
        <f t="shared" si="7"/>
        <v>5191.68</v>
      </c>
      <c r="E111" s="109">
        <f t="shared" si="7"/>
        <v>5399.3472000000002</v>
      </c>
      <c r="Y111" s="179"/>
      <c r="Z111" s="109"/>
      <c r="AA111" s="109"/>
      <c r="AB111" s="109"/>
    </row>
    <row r="112" spans="1:28" hidden="1" outlineLevel="1" x14ac:dyDescent="0.45">
      <c r="A112" s="140" t="str">
        <f>CONCATENATE("  Legal Counseling")</f>
        <v xml:space="preserve">  Legal Counseling</v>
      </c>
      <c r="B112" s="179">
        <f>6600*(1+$B$9)</f>
        <v>6600</v>
      </c>
      <c r="C112" s="109">
        <f t="shared" si="7"/>
        <v>6864</v>
      </c>
      <c r="D112" s="109">
        <f t="shared" si="7"/>
        <v>7138.56</v>
      </c>
      <c r="E112" s="109">
        <f t="shared" si="7"/>
        <v>7424.1024000000007</v>
      </c>
      <c r="Y112" s="179"/>
      <c r="Z112" s="109"/>
      <c r="AA112" s="109"/>
      <c r="AB112" s="109"/>
    </row>
    <row r="113" spans="1:28" hidden="1" outlineLevel="1" x14ac:dyDescent="0.45">
      <c r="A113" s="140" t="str">
        <f>CONCATENATE("  Audit Fee")</f>
        <v xml:space="preserve">  Audit Fee</v>
      </c>
      <c r="B113" s="179">
        <f>7800*(1+$B$9)</f>
        <v>7800</v>
      </c>
      <c r="C113" s="109">
        <f t="shared" si="7"/>
        <v>8112</v>
      </c>
      <c r="D113" s="109">
        <f t="shared" si="7"/>
        <v>8436.48</v>
      </c>
      <c r="E113" s="109">
        <f t="shared" si="7"/>
        <v>8773.9391999999989</v>
      </c>
      <c r="Y113" s="179"/>
      <c r="Z113" s="109"/>
      <c r="AA113" s="109"/>
      <c r="AB113" s="109"/>
    </row>
    <row r="114" spans="1:28" hidden="1" outlineLevel="1" x14ac:dyDescent="0.45">
      <c r="A114" s="140" t="str">
        <f>CONCATENATE("  Insurance")</f>
        <v xml:space="preserve">  Insurance</v>
      </c>
      <c r="B114" s="179">
        <f>12000*(1+$B$9)</f>
        <v>12000</v>
      </c>
      <c r="C114" s="109">
        <f t="shared" si="7"/>
        <v>12480</v>
      </c>
      <c r="D114" s="109">
        <f t="shared" si="7"/>
        <v>12979.2</v>
      </c>
      <c r="E114" s="109">
        <f t="shared" si="7"/>
        <v>13498.368</v>
      </c>
      <c r="Y114" s="179"/>
      <c r="Z114" s="109"/>
      <c r="AA114" s="109"/>
      <c r="AB114" s="109"/>
    </row>
    <row r="115" spans="1:28" ht="17.649999999999999" collapsed="1" x14ac:dyDescent="0.75">
      <c r="A115" s="139" t="s">
        <v>44</v>
      </c>
      <c r="B115" s="123">
        <f>SUM(B116:B118)</f>
        <v>32500</v>
      </c>
      <c r="C115" s="123">
        <f>SUM(C116:C118)</f>
        <v>32500</v>
      </c>
      <c r="D115" s="123">
        <f>SUM(D116:D118)</f>
        <v>7500</v>
      </c>
      <c r="E115" s="123">
        <f>SUM(E116:E118)</f>
        <v>7500</v>
      </c>
      <c r="Y115" s="123"/>
      <c r="Z115" s="123"/>
      <c r="AA115" s="123"/>
      <c r="AB115" s="123"/>
    </row>
    <row r="116" spans="1:28" hidden="1" outlineLevel="1" x14ac:dyDescent="0.45">
      <c r="A116" s="140" t="str">
        <f>CONCATENATE("  Computer/Server")</f>
        <v xml:space="preserve">  Computer/Server</v>
      </c>
      <c r="B116" s="109">
        <f>ROUND(B128/C128,-1)</f>
        <v>5500</v>
      </c>
      <c r="C116" s="109">
        <f>IF($C$128&gt;1,$B$128/$C$128,0)</f>
        <v>5500</v>
      </c>
      <c r="D116" s="109">
        <f>IF($C$128&gt;2,$B$128/$C$128,0)</f>
        <v>5500</v>
      </c>
      <c r="E116" s="109">
        <f>IF($C$128&gt;3,$B$128/$C$128,0)</f>
        <v>5500</v>
      </c>
      <c r="Y116" s="109"/>
      <c r="Z116" s="109"/>
      <c r="AA116" s="109"/>
      <c r="AB116" s="109"/>
    </row>
    <row r="117" spans="1:28" hidden="1" outlineLevel="1" x14ac:dyDescent="0.45">
      <c r="A117" s="140" t="str">
        <f>CONCATENATE("  Computer Equipment")</f>
        <v xml:space="preserve">  Computer Equipment</v>
      </c>
      <c r="B117" s="109">
        <f>ROUND(B129/C129,-1)</f>
        <v>2000</v>
      </c>
      <c r="C117" s="109">
        <f>IF($C$129&gt;1,$B$129/$C$129,0)</f>
        <v>2000</v>
      </c>
      <c r="D117" s="109">
        <f>IF($C$129&gt;2,$B$129/$C$129,0)</f>
        <v>2000</v>
      </c>
      <c r="E117" s="109">
        <f>IF($C$129&gt;3,$B$129/$C$129,0)</f>
        <v>2000</v>
      </c>
      <c r="Y117" s="109"/>
      <c r="Z117" s="109"/>
      <c r="AA117" s="109"/>
      <c r="AB117" s="109"/>
    </row>
    <row r="118" spans="1:28" hidden="1" outlineLevel="1" x14ac:dyDescent="0.45">
      <c r="A118" s="140" t="str">
        <f>CONCATENATE("  Office Furniture")</f>
        <v xml:space="preserve">  Office Furniture</v>
      </c>
      <c r="B118" s="109">
        <f>ROUND(B130/C130,-1)</f>
        <v>25000</v>
      </c>
      <c r="C118" s="109">
        <f>IF($C$130&gt;1,$B$130/$C$130,0)</f>
        <v>25000</v>
      </c>
      <c r="D118" s="109">
        <f>IF($C$130&gt;2,$B$130/$C$130,0)</f>
        <v>0</v>
      </c>
      <c r="E118" s="109">
        <f>IF($C$130&gt;3,$B$130/$C$130,0)</f>
        <v>0</v>
      </c>
      <c r="Y118" s="109"/>
      <c r="Z118" s="109"/>
      <c r="AA118" s="109"/>
      <c r="AB118" s="109"/>
    </row>
    <row r="119" spans="1:28" ht="17.649999999999999" collapsed="1" x14ac:dyDescent="0.75">
      <c r="A119" s="139" t="s">
        <v>78</v>
      </c>
      <c r="B119" s="125">
        <f>IF($C$134&gt;0,$B$134*B80,0)</f>
        <v>20000</v>
      </c>
      <c r="C119" s="125">
        <f>IF($C$134&gt;1,$B$134*C80,0)</f>
        <v>20000</v>
      </c>
      <c r="D119" s="125">
        <f>IF($C$134&gt;2,$B$134*D80,0)</f>
        <v>20000</v>
      </c>
      <c r="E119" s="125">
        <f>IF($C$134&gt;3,$B$134*E80,0)</f>
        <v>0</v>
      </c>
      <c r="F119" s="101"/>
      <c r="Y119" s="125"/>
      <c r="Z119" s="125"/>
      <c r="AA119" s="125"/>
      <c r="AB119" s="125"/>
    </row>
    <row r="120" spans="1:28" ht="17.649999999999999" x14ac:dyDescent="0.75">
      <c r="A120" s="112" t="s">
        <v>124</v>
      </c>
      <c r="B120" s="131">
        <f>B99+B103+B104+B105+B108+B115+B119</f>
        <v>726571.78</v>
      </c>
      <c r="C120" s="131">
        <f>C99+C103+C104+C105+C108+C115+C119</f>
        <v>813640.5</v>
      </c>
      <c r="D120" s="131">
        <f>D99+D103+D104+D105+D108+D115+D119</f>
        <v>830276.37714285718</v>
      </c>
      <c r="E120" s="131">
        <f>E99+E103+E104+E105+E108+E115+E119</f>
        <v>852685.47508571425</v>
      </c>
      <c r="F120" s="122"/>
      <c r="Y120" s="131"/>
      <c r="Z120" s="131"/>
      <c r="AA120" s="131"/>
      <c r="AB120" s="131"/>
    </row>
    <row r="121" spans="1:28" ht="17.649999999999999" x14ac:dyDescent="0.75">
      <c r="A121" s="112"/>
      <c r="B121" s="131"/>
      <c r="C121" s="131"/>
      <c r="D121" s="131"/>
      <c r="E121" s="131"/>
      <c r="F121" s="122"/>
      <c r="Y121" s="131"/>
      <c r="Z121" s="131"/>
      <c r="AA121" s="131"/>
      <c r="AB121" s="131"/>
    </row>
    <row r="122" spans="1:28" ht="17.649999999999999" x14ac:dyDescent="0.75">
      <c r="A122" s="112" t="s">
        <v>128</v>
      </c>
      <c r="B122" s="131">
        <f>B96-B120</f>
        <v>-229483.78000000003</v>
      </c>
      <c r="C122" s="131">
        <f>C96-C120</f>
        <v>84429.5</v>
      </c>
      <c r="D122" s="131">
        <f>D96-D120</f>
        <v>369513.62285714282</v>
      </c>
      <c r="E122" s="131">
        <f>E96-E120</f>
        <v>521454.52491428575</v>
      </c>
      <c r="F122" s="122"/>
      <c r="L122" s="114"/>
      <c r="M122" s="114"/>
      <c r="Y122" s="131"/>
      <c r="Z122" s="131"/>
      <c r="AA122" s="131"/>
      <c r="AB122" s="131"/>
    </row>
    <row r="123" spans="1:28" ht="17.649999999999999" x14ac:dyDescent="0.75">
      <c r="A123" s="112" t="s">
        <v>127</v>
      </c>
      <c r="B123" s="125">
        <f>B122*B81</f>
        <v>-68845.134000000005</v>
      </c>
      <c r="C123" s="125">
        <f>C122*C81</f>
        <v>25328.85</v>
      </c>
      <c r="D123" s="125">
        <f>D122*D81</f>
        <v>110854.08685714284</v>
      </c>
      <c r="E123" s="125">
        <f>E122*E81</f>
        <v>156436.35747428573</v>
      </c>
      <c r="F123" s="122"/>
      <c r="M123" s="114"/>
      <c r="Y123" s="125"/>
      <c r="Z123" s="125"/>
      <c r="AA123" s="125"/>
      <c r="AB123" s="125"/>
    </row>
    <row r="124" spans="1:28" ht="17.649999999999999" x14ac:dyDescent="0.75">
      <c r="A124" s="113" t="s">
        <v>126</v>
      </c>
      <c r="B124" s="141">
        <f>B122-B123</f>
        <v>-160638.64600000001</v>
      </c>
      <c r="C124" s="141">
        <f>C122-C123</f>
        <v>59100.65</v>
      </c>
      <c r="D124" s="141">
        <f>D122-D123</f>
        <v>258659.53599999996</v>
      </c>
      <c r="E124" s="141">
        <f>E122-E123</f>
        <v>365018.16743999999</v>
      </c>
      <c r="F124" s="114"/>
      <c r="L124" s="114"/>
      <c r="M124" s="114"/>
      <c r="Y124" s="141"/>
      <c r="Z124" s="141"/>
      <c r="AA124" s="141"/>
      <c r="AB124" s="141"/>
    </row>
    <row r="125" spans="1:28" x14ac:dyDescent="0.45">
      <c r="A125" s="115"/>
      <c r="B125" s="114"/>
      <c r="C125" s="114"/>
      <c r="D125" s="114"/>
      <c r="E125" s="114"/>
      <c r="F125" s="114"/>
      <c r="Y125" s="114"/>
      <c r="Z125" s="114"/>
      <c r="AA125" s="114"/>
      <c r="AB125" s="114"/>
    </row>
    <row r="126" spans="1:28" x14ac:dyDescent="0.45">
      <c r="B126" s="204" t="s">
        <v>122</v>
      </c>
      <c r="C126" s="206" t="s">
        <v>121</v>
      </c>
      <c r="D126" s="114"/>
      <c r="E126" s="114"/>
      <c r="F126" s="114"/>
      <c r="L126" s="202"/>
      <c r="Y126" s="204"/>
      <c r="Z126" s="206"/>
      <c r="AA126" s="114"/>
      <c r="AB126" s="114"/>
    </row>
    <row r="127" spans="1:28" ht="15.75" thickBot="1" x14ac:dyDescent="0.5">
      <c r="A127" s="128" t="s">
        <v>131</v>
      </c>
      <c r="B127" s="205"/>
      <c r="C127" s="205"/>
      <c r="D127" s="114"/>
      <c r="E127" s="114"/>
      <c r="F127" s="114"/>
      <c r="L127" s="203"/>
      <c r="Y127" s="205"/>
      <c r="Z127" s="205"/>
      <c r="AA127" s="114"/>
      <c r="AB127" s="114"/>
    </row>
    <row r="128" spans="1:28" ht="15.75" thickBot="1" x14ac:dyDescent="0.5">
      <c r="A128" s="110" t="str">
        <f>CONCATENATE("  Computer/Server")</f>
        <v xml:space="preserve">  Computer/Server</v>
      </c>
      <c r="B128" s="179">
        <f>22000*(1+$B$9)</f>
        <v>22000</v>
      </c>
      <c r="C128" s="191">
        <v>4</v>
      </c>
      <c r="D128" s="114"/>
      <c r="E128" s="114"/>
      <c r="F128" s="114"/>
      <c r="H128" s="99" t="b">
        <f>IF(C128&gt;0,TRUE,FALSE)</f>
        <v>1</v>
      </c>
      <c r="L128" s="203"/>
      <c r="Y128" s="179"/>
      <c r="Z128" s="191">
        <v>4</v>
      </c>
      <c r="AA128" s="114"/>
      <c r="AB128" s="114"/>
    </row>
    <row r="129" spans="1:28" ht="15.75" thickBot="1" x14ac:dyDescent="0.5">
      <c r="A129" s="110" t="str">
        <f>CONCATENATE("  Computer Equipment")</f>
        <v xml:space="preserve">  Computer Equipment</v>
      </c>
      <c r="B129" s="179">
        <f>8000*(1+$B$9)</f>
        <v>8000</v>
      </c>
      <c r="C129" s="191">
        <v>4</v>
      </c>
      <c r="D129" s="114"/>
      <c r="E129" s="114"/>
      <c r="F129" s="114"/>
      <c r="H129" s="99" t="b">
        <f>IF(C129&gt;0,TRUE,FALSE)</f>
        <v>1</v>
      </c>
      <c r="Y129" s="179"/>
      <c r="Z129" s="191">
        <v>4</v>
      </c>
      <c r="AA129" s="114"/>
      <c r="AB129" s="114"/>
    </row>
    <row r="130" spans="1:28" ht="15.75" thickBot="1" x14ac:dyDescent="0.5">
      <c r="A130" s="110" t="str">
        <f>CONCATENATE("  Office Furniture")</f>
        <v xml:space="preserve">  Office Furniture</v>
      </c>
      <c r="B130" s="179">
        <f>50000*(1+$B$9)</f>
        <v>50000</v>
      </c>
      <c r="C130" s="191">
        <v>2</v>
      </c>
      <c r="D130" s="114"/>
      <c r="E130" s="114"/>
      <c r="F130" s="114"/>
      <c r="H130" s="99" t="b">
        <f>IF(C130&gt;0,TRUE,FALSE)</f>
        <v>1</v>
      </c>
      <c r="Y130" s="179"/>
      <c r="Z130" s="191">
        <v>2</v>
      </c>
      <c r="AA130" s="114"/>
      <c r="AB130" s="114"/>
    </row>
    <row r="131" spans="1:28" x14ac:dyDescent="0.45">
      <c r="A131" s="110"/>
      <c r="B131" s="109"/>
      <c r="D131" s="109"/>
      <c r="E131" s="109"/>
      <c r="Y131" s="109"/>
      <c r="AA131" s="109"/>
      <c r="AB131" s="109"/>
    </row>
    <row r="132" spans="1:28" ht="15.75" customHeight="1" x14ac:dyDescent="0.45">
      <c r="B132" s="204" t="s">
        <v>122</v>
      </c>
      <c r="C132" s="207" t="s">
        <v>123</v>
      </c>
      <c r="E132" s="116"/>
      <c r="F132" s="116"/>
      <c r="Y132" s="204"/>
      <c r="Z132" s="207"/>
      <c r="AB132" s="116"/>
    </row>
    <row r="133" spans="1:28" ht="15.75" thickBot="1" x14ac:dyDescent="0.5">
      <c r="A133" s="128" t="s">
        <v>132</v>
      </c>
      <c r="B133" s="205"/>
      <c r="C133" s="207"/>
      <c r="E133" s="116"/>
      <c r="F133" s="116"/>
      <c r="Y133" s="205"/>
      <c r="Z133" s="207"/>
      <c r="AB133" s="116"/>
    </row>
    <row r="134" spans="1:28" ht="15.75" thickBot="1" x14ac:dyDescent="0.5">
      <c r="A134" s="110" t="str">
        <f>CONCATENATE("  Bank Loan")</f>
        <v xml:space="preserve">  Bank Loan</v>
      </c>
      <c r="B134" s="190">
        <v>200000</v>
      </c>
      <c r="C134" s="191">
        <v>3</v>
      </c>
      <c r="G134" s="99" t="b">
        <f>IF(B134&gt;=0,TRUE,FALSE)</f>
        <v>1</v>
      </c>
      <c r="H134" s="99" t="b">
        <f>IF(C134&gt;0,TRUE,FALSE)</f>
        <v>1</v>
      </c>
      <c r="Y134" s="190">
        <v>200000</v>
      </c>
      <c r="Z134" s="191">
        <v>3</v>
      </c>
    </row>
    <row r="135" spans="1:28" x14ac:dyDescent="0.45">
      <c r="A135" s="115"/>
      <c r="B135" s="114"/>
      <c r="C135" s="114"/>
      <c r="D135" s="114"/>
      <c r="E135" s="114"/>
      <c r="F135" s="114"/>
      <c r="Y135" s="114"/>
      <c r="Z135" s="114"/>
      <c r="AA135" s="114"/>
      <c r="AB135" s="114"/>
    </row>
    <row r="136" spans="1:28" x14ac:dyDescent="0.45">
      <c r="A136" s="113" t="s">
        <v>133</v>
      </c>
      <c r="B136" s="114"/>
      <c r="C136" s="114"/>
      <c r="D136" s="114"/>
      <c r="E136" s="114"/>
      <c r="F136" s="114"/>
      <c r="Y136" s="114"/>
      <c r="Z136" s="114"/>
      <c r="AA136" s="114"/>
      <c r="AB136" s="114"/>
    </row>
    <row r="137" spans="1:28" x14ac:dyDescent="0.45">
      <c r="A137" s="99" t="s">
        <v>157</v>
      </c>
      <c r="B137" s="109"/>
      <c r="C137" s="109"/>
      <c r="D137" s="109"/>
      <c r="E137" s="109"/>
      <c r="F137" s="114"/>
      <c r="Y137" s="109"/>
      <c r="Z137" s="109"/>
      <c r="AA137" s="109"/>
      <c r="AB137" s="109"/>
    </row>
    <row r="138" spans="1:28" x14ac:dyDescent="0.45">
      <c r="A138" s="115" t="str">
        <f>CONCATENATE("    6 month license")</f>
        <v xml:space="preserve">    6 month license</v>
      </c>
      <c r="B138" s="179">
        <v>650</v>
      </c>
      <c r="C138" s="109">
        <f t="shared" ref="C138:E141" si="8">ROUND(B138+B138*C51,-1)</f>
        <v>810</v>
      </c>
      <c r="D138" s="109">
        <f t="shared" si="8"/>
        <v>840</v>
      </c>
      <c r="E138" s="109">
        <f t="shared" si="8"/>
        <v>870</v>
      </c>
      <c r="F138" s="114"/>
      <c r="Y138" s="179"/>
      <c r="Z138" s="109"/>
      <c r="AA138" s="109"/>
      <c r="AB138" s="109"/>
    </row>
    <row r="139" spans="1:28" x14ac:dyDescent="0.45">
      <c r="A139" s="115" t="str">
        <f>CONCATENATE("    1 year license")</f>
        <v xml:space="preserve">    1 year license</v>
      </c>
      <c r="B139" s="179">
        <v>2100</v>
      </c>
      <c r="C139" s="109">
        <f t="shared" si="8"/>
        <v>2630</v>
      </c>
      <c r="D139" s="109">
        <f t="shared" si="8"/>
        <v>2740</v>
      </c>
      <c r="E139" s="109">
        <f t="shared" si="8"/>
        <v>2850</v>
      </c>
      <c r="F139" s="114"/>
      <c r="Y139" s="179"/>
      <c r="Z139" s="109"/>
      <c r="AA139" s="109"/>
      <c r="AB139" s="109"/>
    </row>
    <row r="140" spans="1:28" x14ac:dyDescent="0.45">
      <c r="A140" s="115" t="str">
        <f>CONCATENATE("    3 year license")</f>
        <v xml:space="preserve">    3 year license</v>
      </c>
      <c r="B140" s="179">
        <v>3200</v>
      </c>
      <c r="C140" s="109">
        <f t="shared" si="8"/>
        <v>4000</v>
      </c>
      <c r="D140" s="109">
        <f t="shared" si="8"/>
        <v>4160</v>
      </c>
      <c r="E140" s="109">
        <f t="shared" si="8"/>
        <v>4330</v>
      </c>
      <c r="F140" s="114"/>
      <c r="Y140" s="179"/>
      <c r="Z140" s="109"/>
      <c r="AA140" s="109"/>
      <c r="AB140" s="109"/>
    </row>
    <row r="141" spans="1:28" x14ac:dyDescent="0.45">
      <c r="A141" s="115" t="str">
        <f>CONCATENATE("    permanent license")</f>
        <v xml:space="preserve">    permanent license</v>
      </c>
      <c r="B141" s="179">
        <v>4600</v>
      </c>
      <c r="C141" s="109">
        <f t="shared" si="8"/>
        <v>5750</v>
      </c>
      <c r="D141" s="109">
        <f t="shared" si="8"/>
        <v>5980</v>
      </c>
      <c r="E141" s="109">
        <f t="shared" si="8"/>
        <v>6220</v>
      </c>
      <c r="F141" s="114"/>
      <c r="Y141" s="179"/>
      <c r="Z141" s="109"/>
      <c r="AA141" s="109"/>
      <c r="AB141" s="109"/>
    </row>
    <row r="142" spans="1:28" x14ac:dyDescent="0.45">
      <c r="A142" s="99" t="s">
        <v>152</v>
      </c>
      <c r="B142" s="109"/>
      <c r="C142" s="109"/>
      <c r="D142" s="109"/>
      <c r="E142" s="109"/>
      <c r="F142" s="114"/>
      <c r="Y142" s="109"/>
      <c r="Z142" s="109"/>
      <c r="AA142" s="109"/>
      <c r="AB142" s="109"/>
    </row>
    <row r="143" spans="1:28" x14ac:dyDescent="0.45">
      <c r="A143" s="115" t="str">
        <f>CONCATENATE("    6 month license")</f>
        <v xml:space="preserve">    6 month license</v>
      </c>
      <c r="B143" s="109">
        <f>ROUND(B138-B138*10%,-1)</f>
        <v>590</v>
      </c>
      <c r="C143" s="109">
        <f t="shared" ref="C143:E147" si="9">ROUND(B143+B143*C51,-1)</f>
        <v>740</v>
      </c>
      <c r="D143" s="109">
        <f t="shared" si="9"/>
        <v>770</v>
      </c>
      <c r="E143" s="109">
        <f t="shared" si="9"/>
        <v>800</v>
      </c>
      <c r="F143" s="114"/>
      <c r="Y143" s="109"/>
      <c r="Z143" s="109"/>
      <c r="AA143" s="109"/>
      <c r="AB143" s="109"/>
    </row>
    <row r="144" spans="1:28" x14ac:dyDescent="0.45">
      <c r="A144" s="115" t="str">
        <f>CONCATENATE("    1 year license")</f>
        <v xml:space="preserve">    1 year license</v>
      </c>
      <c r="B144" s="109">
        <f>ROUND(B139-B139*10%,-1)</f>
        <v>1890</v>
      </c>
      <c r="C144" s="109">
        <f t="shared" si="9"/>
        <v>2360</v>
      </c>
      <c r="D144" s="109">
        <f t="shared" si="9"/>
        <v>2450</v>
      </c>
      <c r="E144" s="109">
        <f t="shared" si="9"/>
        <v>2550</v>
      </c>
      <c r="F144" s="114"/>
      <c r="Y144" s="109"/>
      <c r="Z144" s="109"/>
      <c r="AA144" s="109"/>
      <c r="AB144" s="109"/>
    </row>
    <row r="145" spans="1:28" x14ac:dyDescent="0.45">
      <c r="A145" s="115" t="str">
        <f>CONCATENATE("    3 year license")</f>
        <v xml:space="preserve">    3 year license</v>
      </c>
      <c r="B145" s="109">
        <f>ROUND(B140-B140*10%,-1)</f>
        <v>2880</v>
      </c>
      <c r="C145" s="109">
        <f t="shared" si="9"/>
        <v>3600</v>
      </c>
      <c r="D145" s="109">
        <f t="shared" si="9"/>
        <v>3740</v>
      </c>
      <c r="E145" s="109">
        <f t="shared" si="9"/>
        <v>3890</v>
      </c>
      <c r="F145" s="114"/>
      <c r="Y145" s="109"/>
      <c r="Z145" s="109"/>
      <c r="AA145" s="109"/>
      <c r="AB145" s="109"/>
    </row>
    <row r="146" spans="1:28" x14ac:dyDescent="0.45">
      <c r="A146" s="115" t="str">
        <f>CONCATENATE("    permanent license")</f>
        <v xml:space="preserve">    permanent license</v>
      </c>
      <c r="B146" s="109">
        <f>ROUND(B141-B141*10%,-1)</f>
        <v>4140</v>
      </c>
      <c r="C146" s="109">
        <f t="shared" si="9"/>
        <v>5180</v>
      </c>
      <c r="D146" s="109">
        <f t="shared" si="9"/>
        <v>5390</v>
      </c>
      <c r="E146" s="109">
        <f t="shared" si="9"/>
        <v>5610</v>
      </c>
      <c r="F146" s="114"/>
      <c r="Y146" s="109"/>
      <c r="Z146" s="109"/>
      <c r="AA146" s="109"/>
      <c r="AB146" s="109"/>
    </row>
    <row r="147" spans="1:28" x14ac:dyDescent="0.45">
      <c r="A147" s="99" t="s">
        <v>111</v>
      </c>
      <c r="B147" s="179">
        <v>12000</v>
      </c>
      <c r="C147" s="109">
        <f t="shared" si="9"/>
        <v>15000</v>
      </c>
      <c r="D147" s="109">
        <f t="shared" si="9"/>
        <v>15600</v>
      </c>
      <c r="E147" s="109">
        <f t="shared" si="9"/>
        <v>16220</v>
      </c>
      <c r="F147" s="114"/>
      <c r="Y147" s="179"/>
      <c r="Z147" s="109"/>
      <c r="AA147" s="109"/>
      <c r="AB147" s="109"/>
    </row>
    <row r="148" spans="1:28" x14ac:dyDescent="0.45">
      <c r="A148" s="115"/>
      <c r="B148" s="114"/>
      <c r="C148" s="114"/>
      <c r="D148" s="114"/>
      <c r="E148" s="114"/>
      <c r="F148" s="114"/>
    </row>
  </sheetData>
  <sheetProtection selectLockedCells="1"/>
  <mergeCells count="8">
    <mergeCell ref="B126:B127"/>
    <mergeCell ref="B132:B133"/>
    <mergeCell ref="Y126:Y127"/>
    <mergeCell ref="Z126:Z127"/>
    <mergeCell ref="Y132:Y133"/>
    <mergeCell ref="Z132:Z133"/>
    <mergeCell ref="C132:C133"/>
    <mergeCell ref="C126:C127"/>
  </mergeCells>
  <phoneticPr fontId="23" type="noConversion"/>
  <dataValidations count="8">
    <dataValidation type="custom" allowBlank="1" showInputMessage="1" showErrorMessage="1" errorTitle="Number not valid!" error="Values for this cell can only be between 0% and 100%" sqref="Y18 Y37 Y21 Y43 Y27 Y40 Y34 Y24 B24 B18 B37 B21 B43 B27 B40 B34">
      <formula1>G18</formula1>
    </dataValidation>
    <dataValidation type="custom" errorStyle="information" allowBlank="1" showInputMessage="1" showErrorMessage="1" errorTitle="Sales do not add up to 100%" error="Please reconsider entering different values for &quot;% of total sales to U and C&quot;" sqref="A28">
      <formula1>G28</formula1>
    </dataValidation>
    <dataValidation type="custom" allowBlank="1" showInputMessage="1" showErrorMessage="1" errorTitle="Invalid!" error="Value has to be greater than 1" sqref="Y29 Y48 Y45 B45 B29 B48">
      <formula1>G29</formula1>
    </dataValidation>
    <dataValidation type="custom" allowBlank="1" showInputMessage="1" showErrorMessage="1" errorTitle="Invalid" error="Value has to be greater than -100%" sqref="Z30 Y8:Y9 Z70:Z75 Z67 Z59:AB61 Z51:Z55 Z49 Z46 C46 C30 B8:B9 C70:C75 C67 C59:E61 C51:C55 C49">
      <formula1>G8</formula1>
    </dataValidation>
    <dataValidation type="custom" allowBlank="1" showInputMessage="1" showErrorMessage="1" errorTitle="Invalid!" error="Value has to be greater than -100%" sqref="AA30:AB30 AA70:AB75 AA67:AB67 AA51:AB55 AA49:AB49 AA46:AB46 D46:E46 D30:E30 D70:E75 D67:E67 D51:E55 D49:E49">
      <formula1>I30</formula1>
    </dataValidation>
    <dataValidation type="custom" allowBlank="1" showInputMessage="1" showErrorMessage="1" errorTitle="Invalid!" error="Value has to between 0% and 100%" sqref="Y62:AB62 Y81:AB81 Y64:AB64 B64:E64 B62:E62 B81:E81">
      <formula1>G62</formula1>
    </dataValidation>
    <dataValidation type="custom" allowBlank="1" showInputMessage="1" showErrorMessage="1" errorTitle="Invalid!" error="Value has to be greater than 0" sqref="Z128:Z130 Z134 C134 C128:C130">
      <formula1>H128</formula1>
    </dataValidation>
    <dataValidation type="custom" allowBlank="1" showInputMessage="1" showErrorMessage="1" errorTitle="Invalid!" error="Value has to be at least 0" sqref="Y134 B134">
      <formula1>G134</formula1>
    </dataValidation>
  </dataValidations>
  <printOptions headings="1" gridLines="1"/>
  <pageMargins left="0.23622047244094491" right="0.23622047244094491" top="0" bottom="3.937007874015748E-2" header="0.51181102362204722" footer="0"/>
  <pageSetup scale="97" orientation="portrait" blackAndWhite="1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locked="0" defaultSize="0" autoLine="0" r:id="rId5">
            <anchor>
              <from>
                <xdr:col>3</xdr:col>
                <xdr:colOff>228600</xdr:colOff>
                <xdr:row>0</xdr:row>
                <xdr:rowOff>95250</xdr:rowOff>
              </from>
              <to>
                <xdr:col>11</xdr:col>
                <xdr:colOff>400050</xdr:colOff>
                <xdr:row>2</xdr:row>
                <xdr:rowOff>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C62"/>
  <sheetViews>
    <sheetView showGridLines="0" topLeftCell="AA1" zoomScale="75" workbookViewId="0">
      <selection activeCell="AQ13" sqref="AQ13"/>
    </sheetView>
  </sheetViews>
  <sheetFormatPr defaultRowHeight="12.75" x14ac:dyDescent="0.35"/>
  <cols>
    <col min="1" max="3" width="9.1328125" hidden="1" customWidth="1"/>
    <col min="4" max="4" width="15.73046875" hidden="1" customWidth="1"/>
    <col min="5" max="5" width="9.73046875" hidden="1" customWidth="1"/>
    <col min="6" max="6" width="15.73046875" hidden="1" customWidth="1"/>
    <col min="7" max="7" width="9.73046875" hidden="1" customWidth="1"/>
    <col min="8" max="8" width="2.265625" hidden="1" customWidth="1"/>
    <col min="9" max="9" width="15.73046875" hidden="1" customWidth="1"/>
    <col min="10" max="10" width="9.73046875" hidden="1" customWidth="1"/>
    <col min="11" max="11" width="15.73046875" hidden="1" customWidth="1"/>
    <col min="12" max="12" width="9.73046875" hidden="1" customWidth="1"/>
    <col min="13" max="13" width="2.265625" hidden="1" customWidth="1"/>
    <col min="14" max="14" width="15.73046875" hidden="1" customWidth="1"/>
    <col min="15" max="15" width="9.73046875" hidden="1" customWidth="1"/>
    <col min="16" max="16" width="15.73046875" hidden="1" customWidth="1"/>
    <col min="17" max="17" width="9.73046875" hidden="1" customWidth="1"/>
    <col min="18" max="18" width="2.265625" hidden="1" customWidth="1"/>
    <col min="19" max="19" width="15.73046875" hidden="1" customWidth="1"/>
    <col min="20" max="20" width="9.73046875" hidden="1" customWidth="1"/>
    <col min="21" max="21" width="15.73046875" hidden="1" customWidth="1"/>
    <col min="22" max="22" width="9.73046875" hidden="1" customWidth="1"/>
    <col min="23" max="23" width="2.265625" hidden="1" customWidth="1"/>
    <col min="24" max="24" width="16.3984375" hidden="1" customWidth="1"/>
    <col min="25" max="26" width="12.1328125" hidden="1" customWidth="1"/>
    <col min="27" max="28" width="9.73046875" customWidth="1"/>
    <col min="29" max="29" width="15.73046875" customWidth="1"/>
    <col min="30" max="30" width="12.73046875" customWidth="1"/>
    <col min="31" max="31" width="15.73046875" customWidth="1"/>
    <col min="32" max="32" width="12.73046875" customWidth="1"/>
    <col min="33" max="33" width="9.73046875" customWidth="1"/>
    <col min="34" max="34" width="15.73046875" customWidth="1"/>
    <col min="35" max="35" width="12.73046875" customWidth="1"/>
    <col min="36" max="36" width="15.73046875" customWidth="1"/>
    <col min="37" max="37" width="12.73046875" customWidth="1"/>
    <col min="38" max="38" width="9.73046875" customWidth="1"/>
    <col min="39" max="39" width="15.73046875" customWidth="1"/>
  </cols>
  <sheetData>
    <row r="2" spans="2:39" x14ac:dyDescent="0.35">
      <c r="B2" s="19" t="s">
        <v>30</v>
      </c>
      <c r="AA2" s="19" t="s">
        <v>30</v>
      </c>
    </row>
    <row r="4" spans="2:39" ht="13.5" thickBot="1" x14ac:dyDescent="0.45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 x14ac:dyDescent="0.35">
      <c r="D5" s="208" t="s">
        <v>23</v>
      </c>
      <c r="E5" s="208"/>
      <c r="F5" s="208"/>
      <c r="G5" s="208"/>
      <c r="H5" s="208"/>
      <c r="I5" s="208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AA5" s="208" t="s">
        <v>153</v>
      </c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</row>
    <row r="6" spans="2:39" x14ac:dyDescent="0.35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 x14ac:dyDescent="0.35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Y7" s="22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 ht="13.15" x14ac:dyDescent="0.4">
      <c r="B8" s="7">
        <v>2006</v>
      </c>
      <c r="C8" s="7" t="s">
        <v>19</v>
      </c>
      <c r="D8" s="11">
        <f>'5 Year Plan'!B138</f>
        <v>650</v>
      </c>
      <c r="E8" s="94">
        <f>'5 Year Plan'!$B$17/12*'Sales Projections_UandC'!Z8</f>
        <v>0.98333333333333339</v>
      </c>
      <c r="F8" s="8"/>
      <c r="G8" s="15"/>
      <c r="H8" s="13"/>
      <c r="I8" s="11">
        <f>'5 Year Plan'!B139</f>
        <v>2100</v>
      </c>
      <c r="J8" s="94">
        <f>'5 Year Plan'!$B$20/12*'Sales Projections_UandC'!Z8</f>
        <v>0.33333333333333337</v>
      </c>
      <c r="K8" s="8"/>
      <c r="L8" s="15"/>
      <c r="M8" s="13"/>
      <c r="N8" s="11">
        <f>'5 Year Plan'!B140</f>
        <v>3200</v>
      </c>
      <c r="O8" s="94">
        <f>'5 Year Plan'!$B$23/12*'Sales Projections_UandC'!Z8</f>
        <v>0.43333333333333335</v>
      </c>
      <c r="P8" s="8"/>
      <c r="Q8" s="15"/>
      <c r="S8" s="11">
        <f>'5 Year Plan'!B141</f>
        <v>4600</v>
      </c>
      <c r="T8" s="94">
        <f>'5 Year Plan'!$B$26/12*'Sales Projections_UandC'!Z8</f>
        <v>0.43333333333333335</v>
      </c>
      <c r="U8" s="8"/>
      <c r="V8" s="15"/>
      <c r="X8" s="37">
        <f>D8*E8+F8*G8+I8*J8+K8*L8+N8*O8+P8*Q8+S8*T8+U8*V8</f>
        <v>4719.1666666666679</v>
      </c>
      <c r="Y8" s="22"/>
      <c r="Z8" s="44">
        <v>0.2</v>
      </c>
      <c r="AA8" s="7">
        <v>2006</v>
      </c>
      <c r="AB8" s="1" t="s">
        <v>58</v>
      </c>
      <c r="AC8" s="22">
        <f>D8</f>
        <v>650</v>
      </c>
      <c r="AD8" s="145">
        <f>ROUND(SUM(E8:E10),0)</f>
        <v>6</v>
      </c>
      <c r="AE8" s="22"/>
      <c r="AF8" s="45"/>
      <c r="AH8" s="22">
        <f>I8</f>
        <v>2100</v>
      </c>
      <c r="AI8" s="145">
        <f>ROUND(SUM(J8:J10),0)</f>
        <v>2</v>
      </c>
      <c r="AJ8" s="22"/>
      <c r="AK8" s="45"/>
    </row>
    <row r="9" spans="2:39" ht="13.15" x14ac:dyDescent="0.4">
      <c r="B9" s="7"/>
      <c r="C9" s="7" t="s">
        <v>18</v>
      </c>
      <c r="D9" s="11">
        <f t="shared" ref="D9:D19" si="0">D8</f>
        <v>650</v>
      </c>
      <c r="E9" s="94">
        <f>'5 Year Plan'!$B$17/12*'Sales Projections_UandC'!Z9</f>
        <v>1.9666666666666668</v>
      </c>
      <c r="F9" s="8"/>
      <c r="G9" s="15"/>
      <c r="H9" s="13"/>
      <c r="I9" s="11">
        <f t="shared" ref="I9:I19" si="1">I8</f>
        <v>2100</v>
      </c>
      <c r="J9" s="94">
        <f>'5 Year Plan'!$B$20/12*'Sales Projections_UandC'!Z9</f>
        <v>0.66666666666666674</v>
      </c>
      <c r="K9" s="8"/>
      <c r="L9" s="15"/>
      <c r="M9" s="13"/>
      <c r="N9" s="11">
        <f t="shared" ref="N9:N19" si="2">N8</f>
        <v>3200</v>
      </c>
      <c r="O9" s="94">
        <f>'5 Year Plan'!$B$23/12*'Sales Projections_UandC'!Z9</f>
        <v>0.8666666666666667</v>
      </c>
      <c r="P9" s="8"/>
      <c r="Q9" s="15"/>
      <c r="S9" s="11">
        <f t="shared" ref="S9:S19" si="3">S8</f>
        <v>4600</v>
      </c>
      <c r="T9" s="94">
        <f>'5 Year Plan'!$B$26/12*'Sales Projections_UandC'!Z9</f>
        <v>0.8666666666666667</v>
      </c>
      <c r="U9" s="8"/>
      <c r="V9" s="15"/>
      <c r="X9" s="37">
        <f t="shared" ref="X9:X33" si="4">D9*E9+F9*G9+I9*J9+K9*L9+N9*O9+P9*Q9+S9*T9+U9*V9</f>
        <v>9438.3333333333358</v>
      </c>
      <c r="Y9" s="22"/>
      <c r="Z9" s="44">
        <v>0.4</v>
      </c>
      <c r="AB9" s="1" t="s">
        <v>59</v>
      </c>
      <c r="AC9" s="22">
        <f>D11</f>
        <v>650</v>
      </c>
      <c r="AD9" s="145">
        <f>ROUND(SUM(E11:E13),0)</f>
        <v>14</v>
      </c>
      <c r="AE9" s="22"/>
      <c r="AF9" s="45"/>
      <c r="AH9" s="22">
        <f>I11</f>
        <v>2100</v>
      </c>
      <c r="AI9" s="145">
        <f>ROUND(SUM(J11:J13),0)</f>
        <v>5</v>
      </c>
      <c r="AJ9" s="22"/>
      <c r="AK9" s="45"/>
    </row>
    <row r="10" spans="2:39" ht="13.15" x14ac:dyDescent="0.4">
      <c r="B10" s="7"/>
      <c r="C10" s="7" t="s">
        <v>17</v>
      </c>
      <c r="D10" s="11">
        <f t="shared" si="0"/>
        <v>650</v>
      </c>
      <c r="E10" s="94">
        <f>'5 Year Plan'!$B$17/12*'Sales Projections_UandC'!Z10</f>
        <v>2.95</v>
      </c>
      <c r="F10" s="8"/>
      <c r="G10" s="15"/>
      <c r="H10" s="13"/>
      <c r="I10" s="11">
        <f t="shared" si="1"/>
        <v>2100</v>
      </c>
      <c r="J10" s="94">
        <f>'5 Year Plan'!$B$20/12*'Sales Projections_UandC'!Z10</f>
        <v>1</v>
      </c>
      <c r="K10" s="8"/>
      <c r="L10" s="15"/>
      <c r="M10" s="13"/>
      <c r="N10" s="11">
        <f t="shared" si="2"/>
        <v>3200</v>
      </c>
      <c r="O10" s="94">
        <f>'5 Year Plan'!$B$23/12*'Sales Projections_UandC'!Z10</f>
        <v>1.2999999999999998</v>
      </c>
      <c r="P10" s="8"/>
      <c r="Q10" s="15"/>
      <c r="S10" s="11">
        <f t="shared" si="3"/>
        <v>4600</v>
      </c>
      <c r="T10" s="94">
        <f>'5 Year Plan'!$B$26/12*'Sales Projections_UandC'!Z10</f>
        <v>1.2999999999999998</v>
      </c>
      <c r="U10" s="8"/>
      <c r="V10" s="15"/>
      <c r="X10" s="37">
        <f t="shared" si="4"/>
        <v>14157.499999999998</v>
      </c>
      <c r="Z10" s="44">
        <v>0.6</v>
      </c>
      <c r="AA10" s="1">
        <v>2007</v>
      </c>
      <c r="AB10" s="1" t="s">
        <v>60</v>
      </c>
      <c r="AC10" s="22">
        <f>D14</f>
        <v>650</v>
      </c>
      <c r="AD10" s="145">
        <f>ROUND(SUM(E14:E16),0)</f>
        <v>16</v>
      </c>
      <c r="AE10" s="22"/>
      <c r="AF10" s="45"/>
      <c r="AH10" s="22">
        <f>I14</f>
        <v>2100</v>
      </c>
      <c r="AI10" s="145">
        <f>ROUND(SUM(J14:J16),0)</f>
        <v>5</v>
      </c>
      <c r="AJ10" s="22"/>
      <c r="AK10" s="45"/>
    </row>
    <row r="11" spans="2:39" ht="13.15" x14ac:dyDescent="0.4">
      <c r="B11" s="7"/>
      <c r="C11" s="7" t="s">
        <v>16</v>
      </c>
      <c r="D11" s="11">
        <f t="shared" si="0"/>
        <v>650</v>
      </c>
      <c r="E11" s="94">
        <f>'5 Year Plan'!$B$17/12*'Sales Projections_UandC'!Z11</f>
        <v>3.9333333333333336</v>
      </c>
      <c r="F11" s="8"/>
      <c r="G11" s="15"/>
      <c r="H11" s="13"/>
      <c r="I11" s="11">
        <f t="shared" si="1"/>
        <v>2100</v>
      </c>
      <c r="J11" s="94">
        <f>'5 Year Plan'!$B$20/12*'Sales Projections_UandC'!Z11</f>
        <v>1.3333333333333335</v>
      </c>
      <c r="K11" s="8"/>
      <c r="L11" s="15"/>
      <c r="M11" s="13"/>
      <c r="N11" s="11">
        <f t="shared" si="2"/>
        <v>3200</v>
      </c>
      <c r="O11" s="94">
        <f>'5 Year Plan'!$B$23/12*'Sales Projections_UandC'!Z11</f>
        <v>1.7333333333333334</v>
      </c>
      <c r="P11" s="8"/>
      <c r="Q11" s="15"/>
      <c r="S11" s="11">
        <f t="shared" si="3"/>
        <v>4600</v>
      </c>
      <c r="T11" s="94">
        <f>'5 Year Plan'!$B$26/12*'Sales Projections_UandC'!Z11</f>
        <v>1.7333333333333334</v>
      </c>
      <c r="U11" s="8"/>
      <c r="V11" s="15"/>
      <c r="X11" s="37">
        <f t="shared" si="4"/>
        <v>18876.666666666672</v>
      </c>
      <c r="Z11" s="44">
        <v>0.8</v>
      </c>
      <c r="AA11" s="1"/>
      <c r="AB11" s="1" t="s">
        <v>61</v>
      </c>
      <c r="AC11" s="22">
        <f>D17</f>
        <v>650</v>
      </c>
      <c r="AD11" s="145">
        <f>'5 Year Plan'!B17-SUM('Sales Projections_UandC'!AD8:AD10)</f>
        <v>23</v>
      </c>
      <c r="AE11" s="22"/>
      <c r="AF11" s="45"/>
      <c r="AH11" s="22">
        <f>I17</f>
        <v>2100</v>
      </c>
      <c r="AI11" s="145">
        <f>'5 Year Plan'!B20-SUM('Sales Projections_UandC'!AI8:AI10)</f>
        <v>8</v>
      </c>
      <c r="AJ11" s="22"/>
      <c r="AK11" s="45"/>
    </row>
    <row r="12" spans="2:39" ht="13.15" x14ac:dyDescent="0.4">
      <c r="B12" s="7"/>
      <c r="C12" s="7" t="s">
        <v>15</v>
      </c>
      <c r="D12" s="11">
        <f t="shared" si="0"/>
        <v>650</v>
      </c>
      <c r="E12" s="94">
        <f>'5 Year Plan'!$B$17/12*'Sales Projections_UandC'!Z12</f>
        <v>4.916666666666667</v>
      </c>
      <c r="F12" s="8"/>
      <c r="G12" s="15"/>
      <c r="H12" s="13"/>
      <c r="I12" s="11">
        <f t="shared" si="1"/>
        <v>2100</v>
      </c>
      <c r="J12" s="94">
        <f>'5 Year Plan'!$B$20/12*'Sales Projections_UandC'!Z12</f>
        <v>1.6666666666666667</v>
      </c>
      <c r="K12" s="8"/>
      <c r="L12" s="15"/>
      <c r="M12" s="13"/>
      <c r="N12" s="11">
        <f t="shared" si="2"/>
        <v>3200</v>
      </c>
      <c r="O12" s="94">
        <f>'5 Year Plan'!$B$23/12*'Sales Projections_UandC'!Z12</f>
        <v>2.1666666666666665</v>
      </c>
      <c r="P12" s="8"/>
      <c r="Q12" s="15"/>
      <c r="S12" s="11">
        <f t="shared" si="3"/>
        <v>4600</v>
      </c>
      <c r="T12" s="94">
        <f>'5 Year Plan'!$B$26/12*'Sales Projections_UandC'!Z12</f>
        <v>2.1666666666666665</v>
      </c>
      <c r="U12" s="8"/>
      <c r="V12" s="15"/>
      <c r="X12" s="37">
        <f t="shared" si="4"/>
        <v>23595.833333333336</v>
      </c>
      <c r="Z12" s="44">
        <v>1</v>
      </c>
      <c r="AB12" s="1" t="s">
        <v>1</v>
      </c>
      <c r="AD12" s="45"/>
      <c r="AF12" s="45"/>
      <c r="AI12" s="45"/>
      <c r="AK12" s="45"/>
    </row>
    <row r="13" spans="2:39" x14ac:dyDescent="0.35">
      <c r="B13" s="7"/>
      <c r="C13" s="7" t="s">
        <v>14</v>
      </c>
      <c r="D13" s="11">
        <f t="shared" si="0"/>
        <v>650</v>
      </c>
      <c r="E13" s="94">
        <f>'5 Year Plan'!$B$17/12*'Sales Projections_UandC'!Z13</f>
        <v>4.916666666666667</v>
      </c>
      <c r="F13" s="8"/>
      <c r="G13" s="15"/>
      <c r="H13" s="13"/>
      <c r="I13" s="11">
        <f t="shared" si="1"/>
        <v>2100</v>
      </c>
      <c r="J13" s="94">
        <f>'5 Year Plan'!$B$20/12*'Sales Projections_UandC'!Z13</f>
        <v>1.6666666666666667</v>
      </c>
      <c r="K13" s="8"/>
      <c r="L13" s="15"/>
      <c r="M13" s="13"/>
      <c r="N13" s="11">
        <f t="shared" si="2"/>
        <v>3200</v>
      </c>
      <c r="O13" s="94">
        <f>'5 Year Plan'!$B$23/12*'Sales Projections_UandC'!Z13</f>
        <v>2.1666666666666665</v>
      </c>
      <c r="P13" s="8"/>
      <c r="Q13" s="15"/>
      <c r="S13" s="11">
        <f t="shared" si="3"/>
        <v>4600</v>
      </c>
      <c r="T13" s="94">
        <f>'5 Year Plan'!$B$26/12*'Sales Projections_UandC'!Z13</f>
        <v>2.1666666666666665</v>
      </c>
      <c r="U13" s="8"/>
      <c r="V13" s="15"/>
      <c r="X13" s="37">
        <f t="shared" si="4"/>
        <v>23595.833333333336</v>
      </c>
      <c r="Z13" s="44">
        <v>1</v>
      </c>
      <c r="AD13" s="45"/>
      <c r="AF13" s="45"/>
      <c r="AI13" s="45"/>
      <c r="AK13" s="45"/>
    </row>
    <row r="14" spans="2:39" ht="13.15" x14ac:dyDescent="0.4">
      <c r="B14" s="7"/>
      <c r="C14" s="7" t="s">
        <v>13</v>
      </c>
      <c r="D14" s="11">
        <f t="shared" si="0"/>
        <v>650</v>
      </c>
      <c r="E14" s="94">
        <f>'5 Year Plan'!$B$17/12*'Sales Projections_UandC'!Z14</f>
        <v>4.916666666666667</v>
      </c>
      <c r="F14" s="8"/>
      <c r="G14" s="15"/>
      <c r="H14" s="13"/>
      <c r="I14" s="11">
        <f t="shared" si="1"/>
        <v>2100</v>
      </c>
      <c r="J14" s="94">
        <f>'5 Year Plan'!$B$20/12*'Sales Projections_UandC'!Z14</f>
        <v>1.6666666666666667</v>
      </c>
      <c r="K14" s="8"/>
      <c r="L14" s="15"/>
      <c r="M14" s="13"/>
      <c r="N14" s="11">
        <f t="shared" si="2"/>
        <v>3200</v>
      </c>
      <c r="O14" s="94">
        <f>'5 Year Plan'!$B$23/12*'Sales Projections_UandC'!Z14</f>
        <v>2.1666666666666665</v>
      </c>
      <c r="P14" s="8"/>
      <c r="Q14" s="15"/>
      <c r="S14" s="11">
        <f t="shared" si="3"/>
        <v>4600</v>
      </c>
      <c r="T14" s="94">
        <f>'5 Year Plan'!$B$26/12*'Sales Projections_UandC'!Z14</f>
        <v>2.1666666666666665</v>
      </c>
      <c r="U14" s="8"/>
      <c r="V14" s="15"/>
      <c r="X14" s="37">
        <f t="shared" si="4"/>
        <v>23595.833333333336</v>
      </c>
      <c r="Z14" s="44">
        <v>1</v>
      </c>
      <c r="AB14" s="1" t="s">
        <v>58</v>
      </c>
      <c r="AC14" s="22"/>
      <c r="AD14" s="45"/>
      <c r="AE14" s="22">
        <f>F23</f>
        <v>810</v>
      </c>
      <c r="AF14" s="145">
        <f>ROUND(SUM(G23:G25),0)</f>
        <v>18</v>
      </c>
      <c r="AH14" s="22"/>
      <c r="AI14" s="45"/>
      <c r="AJ14" s="22">
        <f>K23</f>
        <v>2630</v>
      </c>
      <c r="AK14" s="145">
        <f>ROUND(SUM(L23:L25),0)</f>
        <v>6</v>
      </c>
    </row>
    <row r="15" spans="2:39" ht="13.15" x14ac:dyDescent="0.4">
      <c r="B15" s="7"/>
      <c r="C15" s="7" t="s">
        <v>21</v>
      </c>
      <c r="D15" s="11">
        <f t="shared" si="0"/>
        <v>650</v>
      </c>
      <c r="E15" s="94">
        <f>'5 Year Plan'!$B$17/12*'Sales Projections_UandC'!Z15</f>
        <v>4.916666666666667</v>
      </c>
      <c r="F15" s="8"/>
      <c r="G15" s="15"/>
      <c r="H15" s="13"/>
      <c r="I15" s="11">
        <f t="shared" si="1"/>
        <v>2100</v>
      </c>
      <c r="J15" s="94">
        <f>'5 Year Plan'!$B$20/12*'Sales Projections_UandC'!Z15</f>
        <v>1.6666666666666667</v>
      </c>
      <c r="K15" s="8"/>
      <c r="L15" s="15"/>
      <c r="M15" s="13"/>
      <c r="N15" s="11">
        <f t="shared" si="2"/>
        <v>3200</v>
      </c>
      <c r="O15" s="94">
        <f>'5 Year Plan'!$B$23/12*'Sales Projections_UandC'!Z15</f>
        <v>2.1666666666666665</v>
      </c>
      <c r="P15" s="8"/>
      <c r="Q15" s="15"/>
      <c r="S15" s="11">
        <f t="shared" si="3"/>
        <v>4600</v>
      </c>
      <c r="T15" s="94">
        <f>'5 Year Plan'!$B$26/12*'Sales Projections_UandC'!Z15</f>
        <v>2.1666666666666665</v>
      </c>
      <c r="U15" s="8"/>
      <c r="V15" s="15"/>
      <c r="X15" s="37">
        <f t="shared" si="4"/>
        <v>23595.833333333336</v>
      </c>
      <c r="Z15" s="44">
        <v>1</v>
      </c>
      <c r="AB15" s="1" t="s">
        <v>59</v>
      </c>
      <c r="AC15" s="22"/>
      <c r="AD15" s="45"/>
      <c r="AE15" s="22">
        <f>F26</f>
        <v>810</v>
      </c>
      <c r="AF15" s="145">
        <f>ROUND(SUM(G26:G28),0)</f>
        <v>20</v>
      </c>
      <c r="AH15" s="22"/>
      <c r="AI15" s="45"/>
      <c r="AJ15" s="22">
        <f>K26</f>
        <v>2630</v>
      </c>
      <c r="AK15" s="145">
        <f>ROUND(SUM(L26:L28),0)</f>
        <v>7</v>
      </c>
    </row>
    <row r="16" spans="2:39" ht="13.15" x14ac:dyDescent="0.4">
      <c r="B16" s="7"/>
      <c r="C16" s="7" t="s">
        <v>22</v>
      </c>
      <c r="D16" s="11">
        <f t="shared" si="0"/>
        <v>650</v>
      </c>
      <c r="E16" s="94">
        <f>'5 Year Plan'!$B$17/12*'Sales Projections_UandC'!Z16</f>
        <v>5.9</v>
      </c>
      <c r="F16" s="8"/>
      <c r="G16" s="15"/>
      <c r="H16" s="13"/>
      <c r="I16" s="11">
        <f t="shared" si="1"/>
        <v>2100</v>
      </c>
      <c r="J16" s="94">
        <f>'5 Year Plan'!$B$20/12*'Sales Projections_UandC'!Z16</f>
        <v>2</v>
      </c>
      <c r="K16" s="8"/>
      <c r="L16" s="15"/>
      <c r="M16" s="13"/>
      <c r="N16" s="11">
        <f t="shared" si="2"/>
        <v>3200</v>
      </c>
      <c r="O16" s="94">
        <f>'5 Year Plan'!$B$23/12*'Sales Projections_UandC'!Z16</f>
        <v>2.5999999999999996</v>
      </c>
      <c r="P16" s="8"/>
      <c r="Q16" s="15"/>
      <c r="S16" s="11">
        <f t="shared" si="3"/>
        <v>4600</v>
      </c>
      <c r="T16" s="94">
        <f>'5 Year Plan'!$B$26/12*'Sales Projections_UandC'!Z16</f>
        <v>2.5999999999999996</v>
      </c>
      <c r="U16" s="8"/>
      <c r="V16" s="15"/>
      <c r="X16" s="37">
        <f t="shared" si="4"/>
        <v>28314.999999999996</v>
      </c>
      <c r="Z16" s="44">
        <v>1.2</v>
      </c>
      <c r="AA16" s="1">
        <v>2008</v>
      </c>
      <c r="AB16" s="1" t="s">
        <v>60</v>
      </c>
      <c r="AC16" s="22"/>
      <c r="AD16" s="45"/>
      <c r="AE16" s="22">
        <f>F29</f>
        <v>810</v>
      </c>
      <c r="AF16" s="145">
        <f>ROUND(SUM(G29:G31),0)</f>
        <v>20</v>
      </c>
      <c r="AH16" s="22"/>
      <c r="AI16" s="45"/>
      <c r="AJ16" s="22">
        <f>K29</f>
        <v>2630</v>
      </c>
      <c r="AK16" s="145">
        <f>ROUND(SUM(L29:L31),0)</f>
        <v>7</v>
      </c>
    </row>
    <row r="17" spans="2:55" ht="13.15" x14ac:dyDescent="0.4">
      <c r="B17" s="7"/>
      <c r="C17" s="7" t="s">
        <v>25</v>
      </c>
      <c r="D17" s="11">
        <f t="shared" si="0"/>
        <v>650</v>
      </c>
      <c r="E17" s="94">
        <f>'5 Year Plan'!$B$17/12*'Sales Projections_UandC'!Z17</f>
        <v>6.8833333333333337</v>
      </c>
      <c r="F17" s="8"/>
      <c r="G17" s="15"/>
      <c r="H17" s="13"/>
      <c r="I17" s="11">
        <f t="shared" si="1"/>
        <v>2100</v>
      </c>
      <c r="J17" s="94">
        <f>'5 Year Plan'!$B$20/12*'Sales Projections_UandC'!Z17</f>
        <v>2.3333333333333335</v>
      </c>
      <c r="K17" s="8"/>
      <c r="L17" s="15"/>
      <c r="M17" s="13"/>
      <c r="N17" s="11">
        <f t="shared" si="2"/>
        <v>3200</v>
      </c>
      <c r="O17" s="94">
        <f>'5 Year Plan'!$B$23/12*'Sales Projections_UandC'!Z17</f>
        <v>3.0333333333333328</v>
      </c>
      <c r="P17" s="8"/>
      <c r="Q17" s="15"/>
      <c r="S17" s="11">
        <f t="shared" si="3"/>
        <v>4600</v>
      </c>
      <c r="T17" s="94">
        <f>'5 Year Plan'!$B$26/12*'Sales Projections_UandC'!Z17</f>
        <v>3.0333333333333328</v>
      </c>
      <c r="U17" s="8"/>
      <c r="V17" s="15"/>
      <c r="X17" s="37">
        <f t="shared" si="4"/>
        <v>33034.166666666664</v>
      </c>
      <c r="Z17" s="44">
        <v>1.4</v>
      </c>
      <c r="AB17" s="1" t="s">
        <v>61</v>
      </c>
      <c r="AC17" s="22"/>
      <c r="AD17" s="45"/>
      <c r="AE17" s="22">
        <f>F32</f>
        <v>810</v>
      </c>
      <c r="AF17" s="145">
        <f>'5 Year Plan'!C17-SUM('Sales Projections_UandC'!AF14:AF16)</f>
        <v>22</v>
      </c>
      <c r="AH17" s="22"/>
      <c r="AI17" s="45"/>
      <c r="AJ17" s="22">
        <f>K32</f>
        <v>2630</v>
      </c>
      <c r="AK17" s="145">
        <f>'5 Year Plan'!C20-SUM('Sales Projections_UandC'!AK14:AK16)</f>
        <v>8</v>
      </c>
    </row>
    <row r="18" spans="2:55" ht="13.15" x14ac:dyDescent="0.4">
      <c r="B18" s="7"/>
      <c r="C18" s="7" t="s">
        <v>20</v>
      </c>
      <c r="D18" s="11">
        <f t="shared" si="0"/>
        <v>650</v>
      </c>
      <c r="E18" s="94">
        <f>'5 Year Plan'!$B$17/12*'Sales Projections_UandC'!Z18</f>
        <v>7.8666666666666671</v>
      </c>
      <c r="F18" s="8"/>
      <c r="G18" s="15"/>
      <c r="H18" s="13"/>
      <c r="I18" s="11">
        <f t="shared" si="1"/>
        <v>2100</v>
      </c>
      <c r="J18" s="94">
        <f>'5 Year Plan'!$B$20/12*'Sales Projections_UandC'!Z18</f>
        <v>2.666666666666667</v>
      </c>
      <c r="K18" s="8"/>
      <c r="L18" s="15"/>
      <c r="M18" s="13"/>
      <c r="N18" s="11">
        <f t="shared" si="2"/>
        <v>3200</v>
      </c>
      <c r="O18" s="94">
        <f>'5 Year Plan'!$B$23/12*'Sales Projections_UandC'!Z18</f>
        <v>3.4666666666666668</v>
      </c>
      <c r="P18" s="8"/>
      <c r="Q18" s="15"/>
      <c r="S18" s="11">
        <f t="shared" si="3"/>
        <v>4600</v>
      </c>
      <c r="T18" s="94">
        <f>'5 Year Plan'!$B$26/12*'Sales Projections_UandC'!Z18</f>
        <v>3.4666666666666668</v>
      </c>
      <c r="U18" s="8"/>
      <c r="V18" s="15"/>
      <c r="X18" s="37">
        <f t="shared" si="4"/>
        <v>37753.333333333343</v>
      </c>
      <c r="Z18" s="44">
        <v>1.6</v>
      </c>
      <c r="AB18" s="1" t="s">
        <v>1</v>
      </c>
      <c r="AD18" s="45"/>
      <c r="AF18" s="45"/>
      <c r="AI18" s="45"/>
      <c r="AK18" s="45"/>
    </row>
    <row r="19" spans="2:55" x14ac:dyDescent="0.35">
      <c r="B19" s="7"/>
      <c r="C19" s="7" t="s">
        <v>12</v>
      </c>
      <c r="D19" s="11">
        <f t="shared" si="0"/>
        <v>650</v>
      </c>
      <c r="E19" s="94">
        <f>'5 Year Plan'!$B$17/12*'Sales Projections_UandC'!Z19</f>
        <v>8.8500000000000014</v>
      </c>
      <c r="F19" s="8"/>
      <c r="G19" s="15"/>
      <c r="H19" s="13"/>
      <c r="I19" s="11">
        <f t="shared" si="1"/>
        <v>2100</v>
      </c>
      <c r="J19" s="94">
        <f>'5 Year Plan'!$B$20/12*'Sales Projections_UandC'!Z19</f>
        <v>3</v>
      </c>
      <c r="K19" s="8"/>
      <c r="L19" s="15"/>
      <c r="M19" s="13"/>
      <c r="N19" s="11">
        <f t="shared" si="2"/>
        <v>3200</v>
      </c>
      <c r="O19" s="94">
        <f>'5 Year Plan'!$B$23/12*'Sales Projections_UandC'!Z19</f>
        <v>3.9</v>
      </c>
      <c r="P19" s="8"/>
      <c r="Q19" s="15"/>
      <c r="S19" s="11">
        <f t="shared" si="3"/>
        <v>4600</v>
      </c>
      <c r="T19" s="94">
        <f>'5 Year Plan'!$B$26/12*'Sales Projections_UandC'!Z19</f>
        <v>3.9</v>
      </c>
      <c r="U19" s="8"/>
      <c r="V19" s="15"/>
      <c r="X19" s="38">
        <f t="shared" si="4"/>
        <v>42472.5</v>
      </c>
      <c r="Z19" s="44">
        <v>1.8</v>
      </c>
      <c r="AD19" s="45"/>
      <c r="AF19" s="45"/>
      <c r="AI19" s="45"/>
      <c r="AK19" s="45"/>
    </row>
    <row r="20" spans="2:55" ht="16.5" x14ac:dyDescent="0.85">
      <c r="B20" s="7"/>
      <c r="C20" s="7" t="s">
        <v>1</v>
      </c>
      <c r="D20" s="11"/>
      <c r="E20" s="94"/>
      <c r="F20" s="8"/>
      <c r="G20" s="15"/>
      <c r="H20" s="13"/>
      <c r="I20" s="11"/>
      <c r="J20" s="13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283150</v>
      </c>
      <c r="AB20" s="1" t="s">
        <v>58</v>
      </c>
      <c r="AC20" s="22"/>
      <c r="AD20" s="45"/>
      <c r="AE20" s="22">
        <f>F38</f>
        <v>840</v>
      </c>
      <c r="AF20" s="45">
        <f>ROUND(SUM(G38:G40),0)</f>
        <v>20</v>
      </c>
      <c r="AH20" s="22"/>
      <c r="AI20" s="45"/>
      <c r="AJ20" s="22">
        <f>K38</f>
        <v>2740</v>
      </c>
      <c r="AK20" s="145">
        <f>ROUND(SUM(L38:L40),0)</f>
        <v>7</v>
      </c>
    </row>
    <row r="21" spans="2:55" ht="13.15" x14ac:dyDescent="0.4">
      <c r="B21" s="7"/>
      <c r="C21" s="7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S21" s="10"/>
      <c r="T21" s="10"/>
      <c r="U21" s="2"/>
      <c r="V21" s="2"/>
      <c r="X21" s="4"/>
      <c r="AB21" s="1" t="s">
        <v>59</v>
      </c>
      <c r="AC21" s="22"/>
      <c r="AD21" s="45"/>
      <c r="AE21" s="22">
        <f>F41</f>
        <v>840</v>
      </c>
      <c r="AF21" s="45">
        <f>ROUND(SUM(G41:G43),0)</f>
        <v>22</v>
      </c>
      <c r="AH21" s="22"/>
      <c r="AI21" s="45"/>
      <c r="AJ21" s="22">
        <f>K41</f>
        <v>2740</v>
      </c>
      <c r="AK21" s="145">
        <f>ROUND(SUM(L41:L43),0)</f>
        <v>8</v>
      </c>
    </row>
    <row r="22" spans="2:55" ht="13.15" x14ac:dyDescent="0.4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/>
      <c r="AD22" s="45"/>
      <c r="AE22" s="22">
        <f>F44</f>
        <v>840</v>
      </c>
      <c r="AF22" s="45">
        <f>ROUND(SUM(G44:G46),0)</f>
        <v>22</v>
      </c>
      <c r="AH22" s="22"/>
      <c r="AI22" s="45"/>
      <c r="AJ22" s="22">
        <f>K44</f>
        <v>2740</v>
      </c>
      <c r="AK22" s="145">
        <f>ROUND(SUM(L44:L46),0)</f>
        <v>8</v>
      </c>
    </row>
    <row r="23" spans="2:55" ht="13.15" x14ac:dyDescent="0.4">
      <c r="B23" s="7">
        <v>2007</v>
      </c>
      <c r="C23" s="7" t="s">
        <v>19</v>
      </c>
      <c r="D23" s="11"/>
      <c r="E23" s="13"/>
      <c r="F23" s="8">
        <f>'5 Year Plan'!C138</f>
        <v>810</v>
      </c>
      <c r="G23" s="146">
        <f>'5 Year Plan'!$C$17/12*'Sales Projections_UandC'!Z23</f>
        <v>6</v>
      </c>
      <c r="H23" s="13"/>
      <c r="I23" s="11"/>
      <c r="J23" s="13"/>
      <c r="K23" s="8">
        <f>'5 Year Plan'!C139</f>
        <v>2630</v>
      </c>
      <c r="L23" s="146">
        <f>'5 Year Plan'!$C$20/12*'Sales Projections_UandC'!Z23</f>
        <v>2.1</v>
      </c>
      <c r="M23" s="13"/>
      <c r="N23" s="11"/>
      <c r="O23" s="13"/>
      <c r="P23" s="8">
        <f>'5 Year Plan'!C140</f>
        <v>4000</v>
      </c>
      <c r="Q23" s="146">
        <f>'5 Year Plan'!$C$23/12*'Sales Projections_UandC'!Z23</f>
        <v>3.2250000000000001</v>
      </c>
      <c r="S23" s="11"/>
      <c r="T23" s="13"/>
      <c r="U23" s="8">
        <f>'5 Year Plan'!C141</f>
        <v>5750</v>
      </c>
      <c r="V23" s="146">
        <f>'5 Year Plan'!$C$26/12*'Sales Projections_UandC'!Z23</f>
        <v>3.5249999999999999</v>
      </c>
      <c r="X23" s="37">
        <f t="shared" si="4"/>
        <v>43551.75</v>
      </c>
      <c r="Z23" s="44">
        <v>0.9</v>
      </c>
      <c r="AB23" s="1" t="s">
        <v>61</v>
      </c>
      <c r="AC23" s="22"/>
      <c r="AD23" s="45"/>
      <c r="AE23" s="22">
        <f>F47</f>
        <v>840</v>
      </c>
      <c r="AF23" s="145">
        <f>'5 Year Plan'!D17-SUM('Sales Projections_UandC'!AF20:AF22)</f>
        <v>23</v>
      </c>
      <c r="AH23" s="22"/>
      <c r="AI23" s="45"/>
      <c r="AJ23" s="22">
        <f>K47</f>
        <v>2740</v>
      </c>
      <c r="AK23" s="145">
        <f>'5 Year Plan'!D20-SUM('Sales Projections_UandC'!AK20:AK22)</f>
        <v>9</v>
      </c>
      <c r="AS23" s="9"/>
      <c r="AX23" s="9"/>
      <c r="BA23" s="6"/>
    </row>
    <row r="24" spans="2:55" ht="13.15" x14ac:dyDescent="0.4">
      <c r="B24" s="7"/>
      <c r="C24" s="7" t="s">
        <v>18</v>
      </c>
      <c r="D24" s="11"/>
      <c r="E24" s="13"/>
      <c r="F24" s="8">
        <f t="shared" ref="F24:F34" si="5">F23</f>
        <v>810</v>
      </c>
      <c r="G24" s="146">
        <f>'5 Year Plan'!$C$17/12*'Sales Projections_UandC'!Z24</f>
        <v>6</v>
      </c>
      <c r="H24" s="13"/>
      <c r="I24" s="11"/>
      <c r="J24" s="13"/>
      <c r="K24" s="8">
        <f t="shared" ref="K24:K34" si="6">K23</f>
        <v>2630</v>
      </c>
      <c r="L24" s="146">
        <f>'5 Year Plan'!$C$20/12*'Sales Projections_UandC'!Z24</f>
        <v>2.1</v>
      </c>
      <c r="M24" s="13"/>
      <c r="N24" s="11"/>
      <c r="O24" s="13"/>
      <c r="P24" s="8">
        <f t="shared" ref="P24:P34" si="7">P23</f>
        <v>4000</v>
      </c>
      <c r="Q24" s="146">
        <f>'5 Year Plan'!$C$23/12*'Sales Projections_UandC'!Z24</f>
        <v>3.2250000000000001</v>
      </c>
      <c r="S24" s="11"/>
      <c r="T24" s="13"/>
      <c r="U24" s="8">
        <f t="shared" ref="U24:U34" si="8">U23</f>
        <v>5750</v>
      </c>
      <c r="V24" s="146">
        <f>'5 Year Plan'!$C$26/12*'Sales Projections_UandC'!Z24</f>
        <v>3.5249999999999999</v>
      </c>
      <c r="X24" s="37">
        <f t="shared" si="4"/>
        <v>43551.75</v>
      </c>
      <c r="Z24" s="44">
        <v>0.9</v>
      </c>
      <c r="AB24" s="1" t="s">
        <v>1</v>
      </c>
      <c r="BC24" s="44"/>
    </row>
    <row r="25" spans="2:55" x14ac:dyDescent="0.35">
      <c r="B25" s="7"/>
      <c r="C25" s="7" t="s">
        <v>17</v>
      </c>
      <c r="D25" s="11"/>
      <c r="E25" s="13"/>
      <c r="F25" s="8">
        <f t="shared" si="5"/>
        <v>810</v>
      </c>
      <c r="G25" s="146">
        <f>'5 Year Plan'!$C$17/12*'Sales Projections_UandC'!Z25</f>
        <v>6</v>
      </c>
      <c r="H25" s="13"/>
      <c r="I25" s="11"/>
      <c r="J25" s="13"/>
      <c r="K25" s="8">
        <f t="shared" si="6"/>
        <v>2630</v>
      </c>
      <c r="L25" s="146">
        <f>'5 Year Plan'!$C$20/12*'Sales Projections_UandC'!Z25</f>
        <v>2.1</v>
      </c>
      <c r="M25" s="13"/>
      <c r="N25" s="11"/>
      <c r="O25" s="13"/>
      <c r="P25" s="8">
        <f t="shared" si="7"/>
        <v>4000</v>
      </c>
      <c r="Q25" s="146">
        <f>'5 Year Plan'!$C$23/12*'Sales Projections_UandC'!Z25</f>
        <v>3.2250000000000001</v>
      </c>
      <c r="S25" s="11"/>
      <c r="T25" s="13"/>
      <c r="U25" s="8">
        <f t="shared" si="8"/>
        <v>5750</v>
      </c>
      <c r="V25" s="146">
        <f>'5 Year Plan'!$C$26/12*'Sales Projections_UandC'!Z25</f>
        <v>3.5249999999999999</v>
      </c>
      <c r="X25" s="37">
        <f t="shared" si="4"/>
        <v>43551.75</v>
      </c>
      <c r="Z25" s="44">
        <v>0.9</v>
      </c>
    </row>
    <row r="26" spans="2:55" x14ac:dyDescent="0.35">
      <c r="B26" s="7"/>
      <c r="C26" s="7" t="s">
        <v>16</v>
      </c>
      <c r="D26" s="11"/>
      <c r="E26" s="13"/>
      <c r="F26" s="8">
        <f t="shared" si="5"/>
        <v>810</v>
      </c>
      <c r="G26" s="146">
        <f>'5 Year Plan'!$C$17/12*'Sales Projections_UandC'!Z26</f>
        <v>6.666666666666667</v>
      </c>
      <c r="H26" s="13"/>
      <c r="I26" s="11"/>
      <c r="J26" s="13"/>
      <c r="K26" s="8">
        <f t="shared" si="6"/>
        <v>2630</v>
      </c>
      <c r="L26" s="146">
        <f>'5 Year Plan'!$C$20/12*'Sales Projections_UandC'!Z26</f>
        <v>2.3333333333333335</v>
      </c>
      <c r="M26" s="13"/>
      <c r="N26" s="11"/>
      <c r="O26" s="13"/>
      <c r="P26" s="8">
        <f t="shared" si="7"/>
        <v>4000</v>
      </c>
      <c r="Q26" s="146">
        <f>'5 Year Plan'!$C$23/12*'Sales Projections_UandC'!Z26</f>
        <v>3.5833333333333335</v>
      </c>
      <c r="S26" s="11"/>
      <c r="T26" s="13"/>
      <c r="U26" s="8">
        <f t="shared" si="8"/>
        <v>5750</v>
      </c>
      <c r="V26" s="146">
        <f>'5 Year Plan'!$C$26/12*'Sales Projections_UandC'!Z26</f>
        <v>3.9166666666666665</v>
      </c>
      <c r="X26" s="37">
        <f t="shared" si="4"/>
        <v>48390.833333333328</v>
      </c>
      <c r="Z26" s="44">
        <v>1</v>
      </c>
      <c r="AS26" s="9"/>
      <c r="AX26" s="9"/>
    </row>
    <row r="27" spans="2:55" ht="13.5" thickBot="1" x14ac:dyDescent="0.45">
      <c r="B27" s="7"/>
      <c r="C27" s="7" t="s">
        <v>15</v>
      </c>
      <c r="D27" s="11"/>
      <c r="E27" s="13"/>
      <c r="F27" s="8">
        <f t="shared" si="5"/>
        <v>810</v>
      </c>
      <c r="G27" s="146">
        <f>'5 Year Plan'!$C$17/12*'Sales Projections_UandC'!Z27</f>
        <v>6.666666666666667</v>
      </c>
      <c r="H27" s="13"/>
      <c r="I27" s="11"/>
      <c r="J27" s="13"/>
      <c r="K27" s="8">
        <f t="shared" si="6"/>
        <v>2630</v>
      </c>
      <c r="L27" s="146">
        <f>'5 Year Plan'!$C$20/12*'Sales Projections_UandC'!Z27</f>
        <v>2.3333333333333335</v>
      </c>
      <c r="M27" s="13"/>
      <c r="N27" s="11"/>
      <c r="O27" s="13"/>
      <c r="P27" s="8">
        <f t="shared" si="7"/>
        <v>4000</v>
      </c>
      <c r="Q27" s="146">
        <f>'5 Year Plan'!$C$23/12*'Sales Projections_UandC'!Z27</f>
        <v>3.5833333333333335</v>
      </c>
      <c r="S27" s="11"/>
      <c r="T27" s="13"/>
      <c r="U27" s="8">
        <f t="shared" si="8"/>
        <v>5750</v>
      </c>
      <c r="V27" s="146">
        <f>'5 Year Plan'!$C$26/12*'Sales Projections_UandC'!Z27</f>
        <v>3.9166666666666665</v>
      </c>
      <c r="X27" s="37">
        <f t="shared" si="4"/>
        <v>48390.833333333328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55" x14ac:dyDescent="0.35">
      <c r="B28" s="7"/>
      <c r="C28" s="7" t="s">
        <v>14</v>
      </c>
      <c r="D28" s="11"/>
      <c r="E28" s="13"/>
      <c r="F28" s="8">
        <f t="shared" si="5"/>
        <v>810</v>
      </c>
      <c r="G28" s="146">
        <f>'5 Year Plan'!$C$17/12*'Sales Projections_UandC'!Z28</f>
        <v>6.666666666666667</v>
      </c>
      <c r="H28" s="13"/>
      <c r="I28" s="11"/>
      <c r="J28" s="13"/>
      <c r="K28" s="8">
        <f t="shared" si="6"/>
        <v>2630</v>
      </c>
      <c r="L28" s="146">
        <f>'5 Year Plan'!$C$20/12*'Sales Projections_UandC'!Z28</f>
        <v>2.3333333333333335</v>
      </c>
      <c r="M28" s="13"/>
      <c r="N28" s="11"/>
      <c r="O28" s="13"/>
      <c r="P28" s="8">
        <f t="shared" si="7"/>
        <v>4000</v>
      </c>
      <c r="Q28" s="146">
        <f>'5 Year Plan'!$C$23/12*'Sales Projections_UandC'!Z28</f>
        <v>3.5833333333333335</v>
      </c>
      <c r="S28" s="11"/>
      <c r="T28" s="13"/>
      <c r="U28" s="8">
        <f t="shared" si="8"/>
        <v>5750</v>
      </c>
      <c r="V28" s="146">
        <f>'5 Year Plan'!$C$26/12*'Sales Projections_UandC'!Z28</f>
        <v>3.9166666666666665</v>
      </c>
      <c r="X28" s="37">
        <f t="shared" si="4"/>
        <v>48390.833333333328</v>
      </c>
      <c r="Z28" s="44">
        <v>1</v>
      </c>
      <c r="AA28" s="208" t="s">
        <v>153</v>
      </c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</row>
    <row r="29" spans="2:55" x14ac:dyDescent="0.35">
      <c r="B29" s="7"/>
      <c r="C29" s="7" t="s">
        <v>13</v>
      </c>
      <c r="D29" s="11"/>
      <c r="E29" s="13"/>
      <c r="F29" s="8">
        <f t="shared" si="5"/>
        <v>810</v>
      </c>
      <c r="G29" s="146">
        <f>'5 Year Plan'!$C$17/12*'Sales Projections_UandC'!Z29</f>
        <v>6.666666666666667</v>
      </c>
      <c r="H29" s="13"/>
      <c r="I29" s="11"/>
      <c r="J29" s="13"/>
      <c r="K29" s="8">
        <f t="shared" si="6"/>
        <v>2630</v>
      </c>
      <c r="L29" s="146">
        <f>'5 Year Plan'!$C$20/12*'Sales Projections_UandC'!Z29</f>
        <v>2.3333333333333335</v>
      </c>
      <c r="M29" s="13"/>
      <c r="N29" s="11"/>
      <c r="O29" s="13"/>
      <c r="P29" s="8">
        <f t="shared" si="7"/>
        <v>4000</v>
      </c>
      <c r="Q29" s="146">
        <f>'5 Year Plan'!$C$23/12*'Sales Projections_UandC'!Z29</f>
        <v>3.5833333333333335</v>
      </c>
      <c r="S29" s="11"/>
      <c r="T29" s="13"/>
      <c r="U29" s="8">
        <f t="shared" si="8"/>
        <v>5750</v>
      </c>
      <c r="V29" s="146">
        <f>'5 Year Plan'!$C$26/12*'Sales Projections_UandC'!Z29</f>
        <v>3.9166666666666665</v>
      </c>
      <c r="X29" s="37">
        <f t="shared" si="4"/>
        <v>48390.833333333328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  <c r="AQ29" s="9"/>
      <c r="AS29" s="9"/>
      <c r="AV29" s="9"/>
      <c r="AX29" s="9"/>
      <c r="BA29" s="9"/>
    </row>
    <row r="30" spans="2:55" x14ac:dyDescent="0.35">
      <c r="B30" s="7"/>
      <c r="C30" s="7" t="s">
        <v>21</v>
      </c>
      <c r="D30" s="11"/>
      <c r="E30" s="13"/>
      <c r="F30" s="8">
        <f t="shared" si="5"/>
        <v>810</v>
      </c>
      <c r="G30" s="146">
        <f>'5 Year Plan'!$C$17/12*'Sales Projections_UandC'!Z30</f>
        <v>6.666666666666667</v>
      </c>
      <c r="H30" s="13"/>
      <c r="I30" s="11"/>
      <c r="J30" s="13"/>
      <c r="K30" s="8">
        <f t="shared" si="6"/>
        <v>2630</v>
      </c>
      <c r="L30" s="146">
        <f>'5 Year Plan'!$C$20/12*'Sales Projections_UandC'!Z30</f>
        <v>2.3333333333333335</v>
      </c>
      <c r="M30" s="13"/>
      <c r="N30" s="11"/>
      <c r="O30" s="13"/>
      <c r="P30" s="8">
        <f t="shared" si="7"/>
        <v>4000</v>
      </c>
      <c r="Q30" s="146">
        <f>'5 Year Plan'!$C$23/12*'Sales Projections_UandC'!Z30</f>
        <v>3.5833333333333335</v>
      </c>
      <c r="S30" s="11"/>
      <c r="T30" s="13"/>
      <c r="U30" s="8">
        <f t="shared" si="8"/>
        <v>5750</v>
      </c>
      <c r="V30" s="146">
        <f>'5 Year Plan'!$C$26/12*'Sales Projections_UandC'!Z30</f>
        <v>3.9166666666666665</v>
      </c>
      <c r="X30" s="37">
        <f t="shared" si="4"/>
        <v>48390.833333333328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55" ht="13.15" x14ac:dyDescent="0.4">
      <c r="B31" s="7"/>
      <c r="C31" s="7" t="s">
        <v>22</v>
      </c>
      <c r="D31" s="11"/>
      <c r="E31" s="13"/>
      <c r="F31" s="8">
        <f t="shared" si="5"/>
        <v>810</v>
      </c>
      <c r="G31" s="146">
        <f>'5 Year Plan'!$C$17/12*'Sales Projections_UandC'!Z31</f>
        <v>6.666666666666667</v>
      </c>
      <c r="H31" s="13"/>
      <c r="I31" s="11"/>
      <c r="J31" s="13"/>
      <c r="K31" s="8">
        <f t="shared" si="6"/>
        <v>2630</v>
      </c>
      <c r="L31" s="146">
        <f>'5 Year Plan'!$C$20/12*'Sales Projections_UandC'!Z31</f>
        <v>2.3333333333333335</v>
      </c>
      <c r="M31" s="13"/>
      <c r="N31" s="11"/>
      <c r="O31" s="13"/>
      <c r="P31" s="8">
        <f t="shared" si="7"/>
        <v>4000</v>
      </c>
      <c r="Q31" s="146">
        <f>'5 Year Plan'!$C$23/12*'Sales Projections_UandC'!Z31</f>
        <v>3.5833333333333335</v>
      </c>
      <c r="S31" s="11"/>
      <c r="T31" s="13"/>
      <c r="U31" s="8">
        <f t="shared" si="8"/>
        <v>5750</v>
      </c>
      <c r="V31" s="146">
        <f>'5 Year Plan'!$C$26/12*'Sales Projections_UandC'!Z31</f>
        <v>3.9166666666666665</v>
      </c>
      <c r="X31" s="37">
        <f t="shared" si="4"/>
        <v>48390.833333333328</v>
      </c>
      <c r="Z31" s="44">
        <v>1</v>
      </c>
      <c r="AA31" s="7">
        <v>2006</v>
      </c>
      <c r="AB31" s="1" t="s">
        <v>58</v>
      </c>
      <c r="AC31" s="22">
        <f>N8</f>
        <v>3200</v>
      </c>
      <c r="AD31" s="145">
        <f>ROUND(SUM(O8:O10),0)</f>
        <v>3</v>
      </c>
      <c r="AE31" s="22"/>
      <c r="AF31" s="45"/>
      <c r="AH31" s="22">
        <f>S8</f>
        <v>4600</v>
      </c>
      <c r="AI31" s="145">
        <f>ROUND(SUM(T8:T10),0)</f>
        <v>3</v>
      </c>
      <c r="AJ31" s="22"/>
      <c r="AK31" s="45"/>
      <c r="AM31" s="4">
        <f>AC8*AD8+AE8*AF8+AH8*AI8+AJ8*AK8+AC31*AD31+AE31*AF31+AH31*AI31+AJ31*AK31</f>
        <v>31500</v>
      </c>
    </row>
    <row r="32" spans="2:55" ht="13.15" x14ac:dyDescent="0.4">
      <c r="B32" s="7"/>
      <c r="C32" s="7" t="s">
        <v>25</v>
      </c>
      <c r="D32" s="11"/>
      <c r="E32" s="13"/>
      <c r="F32" s="8">
        <f t="shared" si="5"/>
        <v>810</v>
      </c>
      <c r="G32" s="146">
        <f>'5 Year Plan'!$C$17/12*'Sales Projections_UandC'!Z32</f>
        <v>7.3333333333333339</v>
      </c>
      <c r="H32" s="13"/>
      <c r="I32" s="11"/>
      <c r="J32" s="13"/>
      <c r="K32" s="8">
        <f t="shared" si="6"/>
        <v>2630</v>
      </c>
      <c r="L32" s="146">
        <f>'5 Year Plan'!$C$20/12*'Sales Projections_UandC'!Z32</f>
        <v>2.5666666666666669</v>
      </c>
      <c r="M32" s="13"/>
      <c r="N32" s="11"/>
      <c r="O32" s="13"/>
      <c r="P32" s="8">
        <f t="shared" si="7"/>
        <v>4000</v>
      </c>
      <c r="Q32" s="146">
        <f>'5 Year Plan'!$C$23/12*'Sales Projections_UandC'!Z32</f>
        <v>3.9416666666666673</v>
      </c>
      <c r="S32" s="11"/>
      <c r="T32" s="13"/>
      <c r="U32" s="8">
        <f t="shared" si="8"/>
        <v>5750</v>
      </c>
      <c r="V32" s="146">
        <f>'5 Year Plan'!$C$26/12*'Sales Projections_UandC'!Z32</f>
        <v>4.3083333333333336</v>
      </c>
      <c r="X32" s="37">
        <f t="shared" si="4"/>
        <v>53229.916666666672</v>
      </c>
      <c r="Z32" s="44">
        <v>1.1000000000000001</v>
      </c>
      <c r="AB32" s="1" t="s">
        <v>59</v>
      </c>
      <c r="AC32" s="22">
        <f>N11</f>
        <v>3200</v>
      </c>
      <c r="AD32" s="145">
        <f>ROUND(SUM(O11:O13),0)</f>
        <v>6</v>
      </c>
      <c r="AE32" s="22"/>
      <c r="AF32" s="45"/>
      <c r="AH32" s="22">
        <f>S11</f>
        <v>4600</v>
      </c>
      <c r="AI32" s="145">
        <f>ROUND(SUM(T11:T13),0)</f>
        <v>6</v>
      </c>
      <c r="AJ32" s="22"/>
      <c r="AK32" s="45"/>
      <c r="AM32" s="4">
        <f>AC9*AD9+AE9*AF9+AH9*AI9+AJ9*AK9+AC32*AD32+AE32*AF32+AH32*AI32+AJ32*AK32</f>
        <v>66400</v>
      </c>
    </row>
    <row r="33" spans="2:39" ht="13.15" x14ac:dyDescent="0.4">
      <c r="B33" s="7"/>
      <c r="C33" s="7" t="s">
        <v>20</v>
      </c>
      <c r="D33" s="11"/>
      <c r="E33" s="13"/>
      <c r="F33" s="8">
        <f t="shared" si="5"/>
        <v>810</v>
      </c>
      <c r="G33" s="146">
        <f>'5 Year Plan'!$C$17/12*'Sales Projections_UandC'!Z33</f>
        <v>7.3333333333333339</v>
      </c>
      <c r="H33" s="13"/>
      <c r="I33" s="11"/>
      <c r="J33" s="13"/>
      <c r="K33" s="8">
        <f t="shared" si="6"/>
        <v>2630</v>
      </c>
      <c r="L33" s="146">
        <f>'5 Year Plan'!$C$20/12*'Sales Projections_UandC'!Z33</f>
        <v>2.5666666666666669</v>
      </c>
      <c r="M33" s="13"/>
      <c r="N33" s="11"/>
      <c r="O33" s="13"/>
      <c r="P33" s="8">
        <f t="shared" si="7"/>
        <v>4000</v>
      </c>
      <c r="Q33" s="146">
        <f>'5 Year Plan'!$C$23/12*'Sales Projections_UandC'!Z33</f>
        <v>3.9416666666666673</v>
      </c>
      <c r="S33" s="11"/>
      <c r="T33" s="13"/>
      <c r="U33" s="8">
        <f t="shared" si="8"/>
        <v>5750</v>
      </c>
      <c r="V33" s="146">
        <f>'5 Year Plan'!$C$26/12*'Sales Projections_UandC'!Z33</f>
        <v>4.3083333333333336</v>
      </c>
      <c r="X33" s="37">
        <f t="shared" si="4"/>
        <v>53229.916666666672</v>
      </c>
      <c r="Z33" s="44">
        <v>1.1000000000000001</v>
      </c>
      <c r="AA33" s="1">
        <v>2007</v>
      </c>
      <c r="AB33" s="1" t="s">
        <v>60</v>
      </c>
      <c r="AC33" s="22">
        <f>N14</f>
        <v>3200</v>
      </c>
      <c r="AD33" s="145">
        <f>ROUND(SUM(O14:O16),0)</f>
        <v>7</v>
      </c>
      <c r="AE33" s="22"/>
      <c r="AF33" s="45"/>
      <c r="AH33" s="22">
        <f>S14</f>
        <v>4600</v>
      </c>
      <c r="AI33" s="145">
        <f>ROUND(SUM(T14:T16),0)</f>
        <v>7</v>
      </c>
      <c r="AJ33" s="22"/>
      <c r="AK33" s="45"/>
      <c r="AM33" s="4">
        <f>AC10*AD10+AE10*AF10+AH10*AI10+AJ10*AK10+AC33*AD33+AE33*AF33+AH33*AI33+AJ33*AK33</f>
        <v>75500</v>
      </c>
    </row>
    <row r="34" spans="2:39" ht="13.15" x14ac:dyDescent="0.4">
      <c r="B34" s="6"/>
      <c r="C34" s="7" t="s">
        <v>12</v>
      </c>
      <c r="D34" s="11"/>
      <c r="E34" s="13"/>
      <c r="F34" s="8">
        <f t="shared" si="5"/>
        <v>810</v>
      </c>
      <c r="G34" s="146">
        <f>'5 Year Plan'!$C$17/12*'Sales Projections_UandC'!Z34</f>
        <v>7.3333333333333339</v>
      </c>
      <c r="H34" s="13"/>
      <c r="I34" s="11"/>
      <c r="J34" s="13"/>
      <c r="K34" s="8">
        <f t="shared" si="6"/>
        <v>2630</v>
      </c>
      <c r="L34" s="146">
        <f>'5 Year Plan'!$C$20/12*'Sales Projections_UandC'!Z34</f>
        <v>2.5666666666666669</v>
      </c>
      <c r="M34" s="13"/>
      <c r="N34" s="11"/>
      <c r="O34" s="13"/>
      <c r="P34" s="8">
        <f t="shared" si="7"/>
        <v>4000</v>
      </c>
      <c r="Q34" s="146">
        <f>'5 Year Plan'!$C$23/12*'Sales Projections_UandC'!Z34</f>
        <v>3.9416666666666673</v>
      </c>
      <c r="S34" s="11"/>
      <c r="T34" s="13"/>
      <c r="U34" s="8">
        <f t="shared" si="8"/>
        <v>5750</v>
      </c>
      <c r="V34" s="146">
        <f>'5 Year Plan'!$C$26/12*'Sales Projections_UandC'!Z34</f>
        <v>4.3083333333333336</v>
      </c>
      <c r="X34" s="38">
        <f>D34*E34+F34*G34+I34*J34+K34*L34+N34*O34+P34*Q34+S34*T34+U34*V34</f>
        <v>53229.916666666672</v>
      </c>
      <c r="Z34" s="44">
        <v>1.1000000000000001</v>
      </c>
      <c r="AA34" s="1"/>
      <c r="AB34" s="1" t="s">
        <v>61</v>
      </c>
      <c r="AC34" s="22">
        <f>N17</f>
        <v>3200</v>
      </c>
      <c r="AD34" s="145">
        <f>'5 Year Plan'!B23-SUM('Sales Projections_UandC'!AD31:AD33)</f>
        <v>10</v>
      </c>
      <c r="AE34" s="22"/>
      <c r="AF34" s="45"/>
      <c r="AH34" s="22">
        <f>S17</f>
        <v>4600</v>
      </c>
      <c r="AI34" s="145">
        <f>'5 Year Plan'!B26-SUM('Sales Projections_UandC'!AI31:AI33)</f>
        <v>10</v>
      </c>
      <c r="AJ34" s="22"/>
      <c r="AK34" s="45"/>
      <c r="AM34" s="4">
        <f>AC11*AD11+AE11*AF11+AH11*AI11+AJ11*AK11+AC34*AD34+AE34*AF34+AH34*AI34+AJ34*AK34</f>
        <v>109750</v>
      </c>
    </row>
    <row r="35" spans="2:39" ht="16.5" x14ac:dyDescent="0.85">
      <c r="B35" s="6"/>
      <c r="C35" s="7" t="s">
        <v>1</v>
      </c>
      <c r="D35" s="11"/>
      <c r="E35" s="13"/>
      <c r="F35" s="8"/>
      <c r="G35" s="15"/>
      <c r="H35" s="13"/>
      <c r="I35" s="93"/>
      <c r="J35" s="94"/>
      <c r="K35" s="94"/>
      <c r="L35" s="15"/>
      <c r="M35" s="13"/>
      <c r="N35" s="11"/>
      <c r="O35" s="13"/>
      <c r="P35" s="8"/>
      <c r="Q35" s="15"/>
      <c r="S35" s="11"/>
      <c r="T35" s="13"/>
      <c r="U35" s="8"/>
      <c r="V35" s="15"/>
      <c r="X35" s="40">
        <f>SUM(X23:X34)</f>
        <v>580689.99999999988</v>
      </c>
      <c r="AB35" s="1" t="s">
        <v>1</v>
      </c>
      <c r="AD35" s="45"/>
      <c r="AF35" s="45"/>
      <c r="AI35" s="45"/>
      <c r="AK35" s="45"/>
      <c r="AM35" s="33">
        <f>SUM(AM31:AM34)</f>
        <v>283150</v>
      </c>
    </row>
    <row r="36" spans="2:39" ht="16.5" x14ac:dyDescent="0.85">
      <c r="B36" s="6"/>
      <c r="C36" s="7"/>
      <c r="D36" s="8"/>
      <c r="E36" s="13"/>
      <c r="F36" s="8"/>
      <c r="G36" s="13"/>
      <c r="H36" s="13"/>
      <c r="I36" s="94"/>
      <c r="J36" s="94"/>
      <c r="K36" s="94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39" ht="13.15" x14ac:dyDescent="0.4">
      <c r="B37" s="7"/>
      <c r="C37" s="7"/>
      <c r="D37" s="16"/>
      <c r="E37" s="2"/>
      <c r="F37" s="35" t="s">
        <v>28</v>
      </c>
      <c r="G37" s="12"/>
      <c r="H37" s="2"/>
      <c r="I37" s="95"/>
      <c r="J37" s="96"/>
      <c r="K37" s="97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/>
      <c r="AD37" s="45"/>
      <c r="AE37" s="22">
        <f>P23</f>
        <v>4000</v>
      </c>
      <c r="AF37" s="145">
        <f>ROUND(SUM(Q23:Q25),0)</f>
        <v>10</v>
      </c>
      <c r="AH37" s="22"/>
      <c r="AI37" s="45"/>
      <c r="AJ37" s="22">
        <f>U23</f>
        <v>5750</v>
      </c>
      <c r="AK37" s="145">
        <f>ROUND(SUM(V23:V25),0)</f>
        <v>11</v>
      </c>
      <c r="AM37" s="4">
        <f>AC14*AD14+AE14*AF14+AH14*AI14+AJ14*AK14+AC37*AD37+AE37*AF37+AH37*AI37+AJ37*AK37</f>
        <v>133610</v>
      </c>
    </row>
    <row r="38" spans="2:39" ht="13.15" x14ac:dyDescent="0.4">
      <c r="B38" s="7">
        <v>2008</v>
      </c>
      <c r="C38" s="7" t="s">
        <v>19</v>
      </c>
      <c r="D38" s="11"/>
      <c r="E38" s="13"/>
      <c r="F38" s="8">
        <f>'5 Year Plan'!D138</f>
        <v>840</v>
      </c>
      <c r="G38" s="15">
        <f>'5 Year Plan'!$D$17/12*'Sales Projections_UandC'!Z38</f>
        <v>6.5250000000000004</v>
      </c>
      <c r="H38" s="13"/>
      <c r="I38" s="11"/>
      <c r="J38" s="13"/>
      <c r="K38" s="8">
        <f>'5 Year Plan'!D139</f>
        <v>2740</v>
      </c>
      <c r="L38" s="146">
        <f>'5 Year Plan'!$D$20/12*'Sales Projections_UandC'!Z38</f>
        <v>2.4</v>
      </c>
      <c r="M38" s="13"/>
      <c r="N38" s="11"/>
      <c r="O38" s="13"/>
      <c r="P38" s="8">
        <f>'5 Year Plan'!D140</f>
        <v>4160</v>
      </c>
      <c r="Q38" s="146">
        <f>'5 Year Plan'!$D$23/12*'Sales Projections_UandC'!Z38</f>
        <v>4.125</v>
      </c>
      <c r="S38" s="11"/>
      <c r="T38" s="13"/>
      <c r="U38" s="8">
        <f>'5 Year Plan'!D141</f>
        <v>5980</v>
      </c>
      <c r="V38" s="146">
        <f>'5 Year Plan'!$D$26/12*'Sales Projections_UandC'!Z38</f>
        <v>4.8</v>
      </c>
      <c r="X38" s="37">
        <f t="shared" ref="X38:X48" si="9">D38*E38+F38*G38+I38*J38+K38*L38+N38*O38+P38*Q38+S38*T38+U38*V38</f>
        <v>57921</v>
      </c>
      <c r="Z38" s="44">
        <v>0.9</v>
      </c>
      <c r="AB38" s="1" t="s">
        <v>59</v>
      </c>
      <c r="AC38" s="22"/>
      <c r="AD38" s="45"/>
      <c r="AE38" s="22">
        <f>P26</f>
        <v>4000</v>
      </c>
      <c r="AF38" s="145">
        <f>ROUND(SUM(Q26:Q28),0)</f>
        <v>11</v>
      </c>
      <c r="AH38" s="22"/>
      <c r="AI38" s="45"/>
      <c r="AJ38" s="22">
        <f>U26</f>
        <v>5750</v>
      </c>
      <c r="AK38" s="145">
        <f>ROUND(SUM(V26:V28),0)</f>
        <v>12</v>
      </c>
      <c r="AM38" s="4">
        <f>AC15*AD15+AE15*AF15+AH15*AI15+AJ15*AK15+AC38*AD38+AE38*AF38+AH38*AI38+AJ38*AK38</f>
        <v>147610</v>
      </c>
    </row>
    <row r="39" spans="2:39" ht="13.15" x14ac:dyDescent="0.4">
      <c r="B39" s="7"/>
      <c r="C39" s="7" t="s">
        <v>18</v>
      </c>
      <c r="D39" s="11"/>
      <c r="E39" s="13"/>
      <c r="F39" s="8">
        <f>F38</f>
        <v>840</v>
      </c>
      <c r="G39" s="15">
        <f>'5 Year Plan'!$D$17/12*'Sales Projections_UandC'!Z39</f>
        <v>6.5250000000000004</v>
      </c>
      <c r="H39" s="13"/>
      <c r="I39" s="11"/>
      <c r="J39" s="13"/>
      <c r="K39" s="8">
        <f>K38</f>
        <v>2740</v>
      </c>
      <c r="L39" s="146">
        <f>'5 Year Plan'!$D$20/12*'Sales Projections_UandC'!Z39</f>
        <v>2.4</v>
      </c>
      <c r="M39" s="13"/>
      <c r="N39" s="11"/>
      <c r="O39" s="13"/>
      <c r="P39" s="8">
        <f t="shared" ref="P39:P49" si="10">P38</f>
        <v>4160</v>
      </c>
      <c r="Q39" s="146">
        <f>'5 Year Plan'!$D$23/12*'Sales Projections_UandC'!Z39</f>
        <v>4.125</v>
      </c>
      <c r="S39" s="11"/>
      <c r="T39" s="13"/>
      <c r="U39" s="8">
        <f t="shared" ref="U39:U49" si="11">U38</f>
        <v>5980</v>
      </c>
      <c r="V39" s="146">
        <f>'5 Year Plan'!$D$26/12*'Sales Projections_UandC'!Z39</f>
        <v>4.8</v>
      </c>
      <c r="X39" s="37">
        <f t="shared" si="9"/>
        <v>57921</v>
      </c>
      <c r="Z39" s="44">
        <v>0.9</v>
      </c>
      <c r="AA39" s="1">
        <v>2008</v>
      </c>
      <c r="AB39" s="1" t="s">
        <v>60</v>
      </c>
      <c r="AC39" s="22"/>
      <c r="AD39" s="45"/>
      <c r="AE39" s="22">
        <f>P29</f>
        <v>4000</v>
      </c>
      <c r="AF39" s="145">
        <f>ROUND(SUM(Q29:Q31),0)</f>
        <v>11</v>
      </c>
      <c r="AH39" s="22"/>
      <c r="AI39" s="45"/>
      <c r="AJ39" s="22">
        <f>U29</f>
        <v>5750</v>
      </c>
      <c r="AK39" s="145">
        <f>ROUND(SUM(V29:V31),0)</f>
        <v>12</v>
      </c>
      <c r="AM39" s="4">
        <f>AC16*AD16+AE16*AF16+AH16*AI16+AJ16*AK16+AC39*AD39+AE39*AF39+AH39*AI39+AJ39*AK39</f>
        <v>147610</v>
      </c>
    </row>
    <row r="40" spans="2:39" ht="13.15" x14ac:dyDescent="0.4">
      <c r="B40" s="7"/>
      <c r="C40" s="7" t="s">
        <v>17</v>
      </c>
      <c r="D40" s="11"/>
      <c r="E40" s="13"/>
      <c r="F40" s="8">
        <f t="shared" ref="F40:F49" si="12">F39</f>
        <v>840</v>
      </c>
      <c r="G40" s="15">
        <f>'5 Year Plan'!$D$17/12*'Sales Projections_UandC'!Z40</f>
        <v>6.5250000000000004</v>
      </c>
      <c r="H40" s="13"/>
      <c r="I40" s="11"/>
      <c r="J40" s="13"/>
      <c r="K40" s="8">
        <f t="shared" ref="K40:K49" si="13">K39</f>
        <v>2740</v>
      </c>
      <c r="L40" s="146">
        <f>'5 Year Plan'!$D$20/12*'Sales Projections_UandC'!Z40</f>
        <v>2.4</v>
      </c>
      <c r="M40" s="13"/>
      <c r="N40" s="11"/>
      <c r="O40" s="13"/>
      <c r="P40" s="8">
        <f t="shared" si="10"/>
        <v>4160</v>
      </c>
      <c r="Q40" s="146">
        <f>'5 Year Plan'!$D$23/12*'Sales Projections_UandC'!Z40</f>
        <v>4.125</v>
      </c>
      <c r="S40" s="11"/>
      <c r="T40" s="13"/>
      <c r="U40" s="8">
        <f t="shared" si="11"/>
        <v>5980</v>
      </c>
      <c r="V40" s="146">
        <f>'5 Year Plan'!$D$26/12*'Sales Projections_UandC'!Z40</f>
        <v>4.8</v>
      </c>
      <c r="X40" s="37">
        <f t="shared" si="9"/>
        <v>57921</v>
      </c>
      <c r="Z40" s="44">
        <v>0.9</v>
      </c>
      <c r="AB40" s="1" t="s">
        <v>61</v>
      </c>
      <c r="AC40" s="22"/>
      <c r="AD40" s="45"/>
      <c r="AE40" s="22">
        <f>P32</f>
        <v>4000</v>
      </c>
      <c r="AF40" s="145">
        <f>'5 Year Plan'!C23-SUM('Sales Projections_UandC'!AF37:AF39)</f>
        <v>11</v>
      </c>
      <c r="AH40" s="22"/>
      <c r="AI40" s="45"/>
      <c r="AJ40" s="22">
        <f>U32</f>
        <v>5750</v>
      </c>
      <c r="AK40" s="145">
        <f>'5 Year Plan'!C26-SUM('Sales Projections_UandC'!AK37:AK39)</f>
        <v>12</v>
      </c>
      <c r="AM40" s="4">
        <f>AC17*AD17+AE17*AF17+AH17*AI17+AJ17*AK17+AC40*AD40+AE40*AF40+AH40*AI40+AJ40*AK40</f>
        <v>151860</v>
      </c>
    </row>
    <row r="41" spans="2:39" ht="16.5" x14ac:dyDescent="0.85">
      <c r="B41" s="7"/>
      <c r="C41" s="7" t="s">
        <v>16</v>
      </c>
      <c r="D41" s="11"/>
      <c r="E41" s="13"/>
      <c r="F41" s="8">
        <f t="shared" si="12"/>
        <v>840</v>
      </c>
      <c r="G41" s="15">
        <f>'5 Year Plan'!$D$17/12*'Sales Projections_UandC'!Z41</f>
        <v>7.25</v>
      </c>
      <c r="H41" s="13"/>
      <c r="I41" s="11"/>
      <c r="J41" s="13"/>
      <c r="K41" s="8">
        <f t="shared" si="13"/>
        <v>2740</v>
      </c>
      <c r="L41" s="146">
        <f>'5 Year Plan'!$D$20/12*'Sales Projections_UandC'!Z41</f>
        <v>2.6666666666666665</v>
      </c>
      <c r="M41" s="13"/>
      <c r="N41" s="11"/>
      <c r="O41" s="13"/>
      <c r="P41" s="8">
        <f t="shared" si="10"/>
        <v>4160</v>
      </c>
      <c r="Q41" s="146">
        <f>'5 Year Plan'!$D$23/12*'Sales Projections_UandC'!Z41</f>
        <v>4.583333333333333</v>
      </c>
      <c r="S41" s="11"/>
      <c r="T41" s="13"/>
      <c r="U41" s="8">
        <f t="shared" si="11"/>
        <v>5980</v>
      </c>
      <c r="V41" s="146">
        <f>'5 Year Plan'!$D$26/12*'Sales Projections_UandC'!Z41</f>
        <v>5.333333333333333</v>
      </c>
      <c r="X41" s="37">
        <f t="shared" si="9"/>
        <v>64356.666666666657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580690</v>
      </c>
    </row>
    <row r="42" spans="2:39" x14ac:dyDescent="0.35">
      <c r="B42" s="7"/>
      <c r="C42" s="7" t="s">
        <v>15</v>
      </c>
      <c r="D42" s="11"/>
      <c r="E42" s="13"/>
      <c r="F42" s="8">
        <f t="shared" si="12"/>
        <v>840</v>
      </c>
      <c r="G42" s="15">
        <f>'5 Year Plan'!$D$17/12*'Sales Projections_UandC'!Z42</f>
        <v>7.25</v>
      </c>
      <c r="H42" s="13"/>
      <c r="I42" s="11"/>
      <c r="J42" s="13"/>
      <c r="K42" s="8">
        <f t="shared" si="13"/>
        <v>2740</v>
      </c>
      <c r="L42" s="146">
        <f>'5 Year Plan'!$D$20/12*'Sales Projections_UandC'!Z42</f>
        <v>2.6666666666666665</v>
      </c>
      <c r="M42" s="13"/>
      <c r="N42" s="11"/>
      <c r="O42" s="13"/>
      <c r="P42" s="8">
        <f t="shared" si="10"/>
        <v>4160</v>
      </c>
      <c r="Q42" s="146">
        <f>'5 Year Plan'!$D$23/12*'Sales Projections_UandC'!Z42</f>
        <v>4.583333333333333</v>
      </c>
      <c r="S42" s="11"/>
      <c r="T42" s="13"/>
      <c r="U42" s="8">
        <f t="shared" si="11"/>
        <v>5980</v>
      </c>
      <c r="V42" s="146">
        <f>'5 Year Plan'!$D$26/12*'Sales Projections_UandC'!Z42</f>
        <v>5.333333333333333</v>
      </c>
      <c r="X42" s="37">
        <f t="shared" si="9"/>
        <v>64356.666666666657</v>
      </c>
      <c r="Z42" s="44">
        <v>1</v>
      </c>
      <c r="AD42" s="45"/>
      <c r="AF42" s="45"/>
      <c r="AI42" s="45"/>
      <c r="AK42" s="45"/>
    </row>
    <row r="43" spans="2:39" ht="13.15" x14ac:dyDescent="0.4">
      <c r="B43" s="7"/>
      <c r="C43" s="7" t="s">
        <v>14</v>
      </c>
      <c r="D43" s="11"/>
      <c r="E43" s="13"/>
      <c r="F43" s="8">
        <f t="shared" si="12"/>
        <v>840</v>
      </c>
      <c r="G43" s="15">
        <f>'5 Year Plan'!$D$17/12*'Sales Projections_UandC'!Z43</f>
        <v>7.25</v>
      </c>
      <c r="H43" s="13"/>
      <c r="I43" s="11"/>
      <c r="J43" s="13"/>
      <c r="K43" s="8">
        <f t="shared" si="13"/>
        <v>2740</v>
      </c>
      <c r="L43" s="146">
        <f>'5 Year Plan'!$D$20/12*'Sales Projections_UandC'!Z43</f>
        <v>2.6666666666666665</v>
      </c>
      <c r="M43" s="13"/>
      <c r="N43" s="11"/>
      <c r="O43" s="13"/>
      <c r="P43" s="8">
        <f t="shared" si="10"/>
        <v>4160</v>
      </c>
      <c r="Q43" s="146">
        <f>'5 Year Plan'!$D$23/12*'Sales Projections_UandC'!Z43</f>
        <v>4.583333333333333</v>
      </c>
      <c r="S43" s="11"/>
      <c r="T43" s="13"/>
      <c r="U43" s="8">
        <f t="shared" si="11"/>
        <v>5980</v>
      </c>
      <c r="V43" s="146">
        <f>'5 Year Plan'!$D$26/12*'Sales Projections_UandC'!Z43</f>
        <v>5.333333333333333</v>
      </c>
      <c r="X43" s="37">
        <f t="shared" si="9"/>
        <v>64356.666666666657</v>
      </c>
      <c r="Z43" s="44">
        <v>1</v>
      </c>
      <c r="AB43" s="1" t="s">
        <v>58</v>
      </c>
      <c r="AC43" s="22"/>
      <c r="AD43" s="45"/>
      <c r="AE43" s="22">
        <f>P38</f>
        <v>4160</v>
      </c>
      <c r="AF43" s="145">
        <f>ROUND(SUM(Q38:Q40),0)</f>
        <v>12</v>
      </c>
      <c r="AH43" s="22"/>
      <c r="AI43" s="45"/>
      <c r="AJ43" s="22">
        <f>U38</f>
        <v>5980</v>
      </c>
      <c r="AK43" s="145">
        <f>ROUND(SUM(V38:V40),0)</f>
        <v>14</v>
      </c>
      <c r="AM43" s="4">
        <f>AC20*AD20+AE20*AF20+AH20*AI20+AJ20*AK20+AC43*AD43+AE43*AF43+AH43*AI43+AJ43*AK43</f>
        <v>169620</v>
      </c>
    </row>
    <row r="44" spans="2:39" ht="13.15" x14ac:dyDescent="0.4">
      <c r="B44" s="7"/>
      <c r="C44" s="7" t="s">
        <v>13</v>
      </c>
      <c r="D44" s="11"/>
      <c r="E44" s="13"/>
      <c r="F44" s="8">
        <f t="shared" si="12"/>
        <v>840</v>
      </c>
      <c r="G44" s="15">
        <f>'5 Year Plan'!$D$17/12*'Sales Projections_UandC'!Z44</f>
        <v>7.25</v>
      </c>
      <c r="H44" s="13"/>
      <c r="I44" s="11"/>
      <c r="J44" s="13"/>
      <c r="K44" s="8">
        <f t="shared" si="13"/>
        <v>2740</v>
      </c>
      <c r="L44" s="146">
        <f>'5 Year Plan'!$D$20/12*'Sales Projections_UandC'!Z44</f>
        <v>2.6666666666666665</v>
      </c>
      <c r="M44" s="13"/>
      <c r="N44" s="11"/>
      <c r="O44" s="13"/>
      <c r="P44" s="8">
        <f t="shared" si="10"/>
        <v>4160</v>
      </c>
      <c r="Q44" s="146">
        <f>'5 Year Plan'!$D$23/12*'Sales Projections_UandC'!Z44</f>
        <v>4.583333333333333</v>
      </c>
      <c r="S44" s="11"/>
      <c r="T44" s="13"/>
      <c r="U44" s="8">
        <f t="shared" si="11"/>
        <v>5980</v>
      </c>
      <c r="V44" s="146">
        <f>'5 Year Plan'!$D$26/12*'Sales Projections_UandC'!Z44</f>
        <v>5.333333333333333</v>
      </c>
      <c r="X44" s="37">
        <f t="shared" si="9"/>
        <v>64356.666666666657</v>
      </c>
      <c r="Z44" s="44">
        <v>1</v>
      </c>
      <c r="AB44" s="1" t="s">
        <v>59</v>
      </c>
      <c r="AC44" s="22"/>
      <c r="AD44" s="45"/>
      <c r="AE44" s="22">
        <f>P41</f>
        <v>4160</v>
      </c>
      <c r="AF44" s="145">
        <f>ROUND(SUM(Q41:Q43),0)</f>
        <v>14</v>
      </c>
      <c r="AH44" s="22"/>
      <c r="AI44" s="45"/>
      <c r="AJ44" s="22">
        <f>U41</f>
        <v>5980</v>
      </c>
      <c r="AK44" s="145">
        <f>ROUND(SUM(V41:V43),0)</f>
        <v>16</v>
      </c>
      <c r="AM44" s="4">
        <f>AC21*AD21+AE21*AF21+AH21*AI21+AJ21*AK21+AC44*AD44+AE44*AF44+AH44*AI44+AJ44*AK44</f>
        <v>194320</v>
      </c>
    </row>
    <row r="45" spans="2:39" ht="13.15" x14ac:dyDescent="0.4">
      <c r="B45" s="7"/>
      <c r="C45" s="7" t="s">
        <v>21</v>
      </c>
      <c r="D45" s="11"/>
      <c r="E45" s="13"/>
      <c r="F45" s="8">
        <f t="shared" si="12"/>
        <v>840</v>
      </c>
      <c r="G45" s="15">
        <f>'5 Year Plan'!$D$17/12*'Sales Projections_UandC'!Z45</f>
        <v>7.25</v>
      </c>
      <c r="H45" s="13"/>
      <c r="I45" s="11"/>
      <c r="J45" s="13"/>
      <c r="K45" s="8">
        <f t="shared" si="13"/>
        <v>2740</v>
      </c>
      <c r="L45" s="146">
        <f>'5 Year Plan'!$D$20/12*'Sales Projections_UandC'!Z45</f>
        <v>2.6666666666666665</v>
      </c>
      <c r="M45" s="13"/>
      <c r="N45" s="11"/>
      <c r="O45" s="13"/>
      <c r="P45" s="8">
        <f t="shared" si="10"/>
        <v>4160</v>
      </c>
      <c r="Q45" s="146">
        <f>'5 Year Plan'!$D$23/12*'Sales Projections_UandC'!Z45</f>
        <v>4.583333333333333</v>
      </c>
      <c r="S45" s="11"/>
      <c r="T45" s="13"/>
      <c r="U45" s="8">
        <f t="shared" si="11"/>
        <v>5980</v>
      </c>
      <c r="V45" s="146">
        <f>'5 Year Plan'!$D$26/12*'Sales Projections_UandC'!Z45</f>
        <v>5.333333333333333</v>
      </c>
      <c r="X45" s="37">
        <f t="shared" si="9"/>
        <v>64356.666666666657</v>
      </c>
      <c r="Z45" s="44">
        <v>1</v>
      </c>
      <c r="AA45" s="1">
        <v>2009</v>
      </c>
      <c r="AB45" s="1" t="s">
        <v>60</v>
      </c>
      <c r="AC45" s="22"/>
      <c r="AD45" s="45"/>
      <c r="AE45" s="22">
        <f>P44</f>
        <v>4160</v>
      </c>
      <c r="AF45" s="145">
        <f>ROUND(SUM(Q44:Q46),0)</f>
        <v>14</v>
      </c>
      <c r="AH45" s="22"/>
      <c r="AI45" s="45"/>
      <c r="AJ45" s="22">
        <f>U44</f>
        <v>5980</v>
      </c>
      <c r="AK45" s="145">
        <f>ROUND(SUM(V44:V46),0)</f>
        <v>16</v>
      </c>
      <c r="AM45" s="4">
        <f>AC22*AD22+AE22*AF22+AH22*AI22+AJ22*AK22+AC45*AD45+AE45*AF45+AH45*AI45+AJ45*AK45</f>
        <v>194320</v>
      </c>
    </row>
    <row r="46" spans="2:39" ht="13.15" x14ac:dyDescent="0.4">
      <c r="B46" s="7"/>
      <c r="C46" s="7" t="s">
        <v>22</v>
      </c>
      <c r="D46" s="11"/>
      <c r="E46" s="13"/>
      <c r="F46" s="8">
        <f t="shared" si="12"/>
        <v>840</v>
      </c>
      <c r="G46" s="15">
        <f>'5 Year Plan'!$D$17/12*'Sales Projections_UandC'!Z46</f>
        <v>7.25</v>
      </c>
      <c r="H46" s="13"/>
      <c r="I46" s="11"/>
      <c r="J46" s="13"/>
      <c r="K46" s="8">
        <f t="shared" si="13"/>
        <v>2740</v>
      </c>
      <c r="L46" s="146">
        <f>'5 Year Plan'!$D$20/12*'Sales Projections_UandC'!Z46</f>
        <v>2.6666666666666665</v>
      </c>
      <c r="M46" s="13"/>
      <c r="N46" s="11"/>
      <c r="O46" s="13"/>
      <c r="P46" s="8">
        <f t="shared" si="10"/>
        <v>4160</v>
      </c>
      <c r="Q46" s="146">
        <f>'5 Year Plan'!$D$23/12*'Sales Projections_UandC'!Z46</f>
        <v>4.583333333333333</v>
      </c>
      <c r="S46" s="11"/>
      <c r="T46" s="13"/>
      <c r="U46" s="8">
        <f t="shared" si="11"/>
        <v>5980</v>
      </c>
      <c r="V46" s="146">
        <f>'5 Year Plan'!$D$26/12*'Sales Projections_UandC'!Z46</f>
        <v>5.333333333333333</v>
      </c>
      <c r="X46" s="37">
        <f t="shared" si="9"/>
        <v>64356.666666666657</v>
      </c>
      <c r="Z46" s="44">
        <v>1</v>
      </c>
      <c r="AB46" s="1" t="s">
        <v>61</v>
      </c>
      <c r="AC46" s="22"/>
      <c r="AD46" s="45"/>
      <c r="AE46" s="22">
        <f>P47</f>
        <v>4160</v>
      </c>
      <c r="AF46" s="145">
        <f>'5 Year Plan'!D23-SUM('Sales Projections_UandC'!AF43:AF45)</f>
        <v>15</v>
      </c>
      <c r="AH46" s="22"/>
      <c r="AI46" s="45"/>
      <c r="AJ46" s="22">
        <f>U47</f>
        <v>5980</v>
      </c>
      <c r="AK46" s="145">
        <f>'5 Year Plan'!D26-SUM('Sales Projections_UandC'!AK43:AK45)</f>
        <v>18</v>
      </c>
      <c r="AM46" s="4">
        <f>AC23*AD23+AE23*AF23+AH23*AI23+AJ23*AK23+AC46*AD46+AE46*AF46+AH46*AI46+AJ46*AK46</f>
        <v>214020</v>
      </c>
    </row>
    <row r="47" spans="2:39" ht="16.5" x14ac:dyDescent="0.85">
      <c r="B47" s="7"/>
      <c r="C47" s="7" t="s">
        <v>25</v>
      </c>
      <c r="D47" s="11"/>
      <c r="E47" s="13"/>
      <c r="F47" s="8">
        <f t="shared" si="12"/>
        <v>840</v>
      </c>
      <c r="G47" s="15">
        <f>'5 Year Plan'!$D$17/12*'Sales Projections_UandC'!Z47</f>
        <v>7.9750000000000005</v>
      </c>
      <c r="H47" s="13"/>
      <c r="I47" s="11"/>
      <c r="J47" s="13"/>
      <c r="K47" s="8">
        <f t="shared" si="13"/>
        <v>2740</v>
      </c>
      <c r="L47" s="146">
        <f>'5 Year Plan'!$D$20/12*'Sales Projections_UandC'!Z47</f>
        <v>2.9333333333333336</v>
      </c>
      <c r="M47" s="13"/>
      <c r="N47" s="11"/>
      <c r="O47" s="13"/>
      <c r="P47" s="8">
        <f t="shared" si="10"/>
        <v>4160</v>
      </c>
      <c r="Q47" s="146">
        <f>'5 Year Plan'!$D$23/12*'Sales Projections_UandC'!Z47</f>
        <v>5.041666666666667</v>
      </c>
      <c r="S47" s="11"/>
      <c r="T47" s="13"/>
      <c r="U47" s="8">
        <f t="shared" si="11"/>
        <v>5980</v>
      </c>
      <c r="V47" s="146">
        <f>'5 Year Plan'!$D$26/12*'Sales Projections_UandC'!Z47</f>
        <v>5.8666666666666671</v>
      </c>
      <c r="X47" s="37">
        <f t="shared" si="9"/>
        <v>70792.333333333343</v>
      </c>
      <c r="Z47" s="44">
        <v>1.1000000000000001</v>
      </c>
      <c r="AB47" s="1" t="s">
        <v>1</v>
      </c>
      <c r="AM47" s="33">
        <f>SUM(AM43:AM46)</f>
        <v>772280</v>
      </c>
    </row>
    <row r="48" spans="2:39" x14ac:dyDescent="0.35">
      <c r="B48" s="7"/>
      <c r="C48" s="7" t="s">
        <v>20</v>
      </c>
      <c r="D48" s="11"/>
      <c r="E48" s="13"/>
      <c r="F48" s="8">
        <f t="shared" si="12"/>
        <v>840</v>
      </c>
      <c r="G48" s="15">
        <f>'5 Year Plan'!$D$17/12*'Sales Projections_UandC'!Z48</f>
        <v>7.9750000000000005</v>
      </c>
      <c r="H48" s="13"/>
      <c r="I48" s="11"/>
      <c r="J48" s="13"/>
      <c r="K48" s="8">
        <f t="shared" si="13"/>
        <v>2740</v>
      </c>
      <c r="L48" s="146">
        <f>'5 Year Plan'!$D$20/12*'Sales Projections_UandC'!Z48</f>
        <v>2.9333333333333336</v>
      </c>
      <c r="M48" s="13"/>
      <c r="N48" s="11"/>
      <c r="O48" s="13"/>
      <c r="P48" s="8">
        <f t="shared" si="10"/>
        <v>4160</v>
      </c>
      <c r="Q48" s="146">
        <f>'5 Year Plan'!$D$23/12*'Sales Projections_UandC'!Z48</f>
        <v>5.041666666666667</v>
      </c>
      <c r="S48" s="11"/>
      <c r="T48" s="13"/>
      <c r="U48" s="8">
        <f t="shared" si="11"/>
        <v>5980</v>
      </c>
      <c r="V48" s="146">
        <f>'5 Year Plan'!$D$26/12*'Sales Projections_UandC'!Z48</f>
        <v>5.8666666666666671</v>
      </c>
      <c r="X48" s="37">
        <f t="shared" si="9"/>
        <v>70792.333333333343</v>
      </c>
      <c r="Z48" s="44">
        <v>1.1000000000000001</v>
      </c>
    </row>
    <row r="49" spans="2:27" x14ac:dyDescent="0.35">
      <c r="B49" s="6"/>
      <c r="C49" s="7" t="s">
        <v>12</v>
      </c>
      <c r="D49" s="11"/>
      <c r="E49" s="13"/>
      <c r="F49" s="8">
        <f t="shared" si="12"/>
        <v>840</v>
      </c>
      <c r="G49" s="15">
        <f>'5 Year Plan'!$D$17/12*'Sales Projections_UandC'!Z49</f>
        <v>7.9750000000000005</v>
      </c>
      <c r="H49" s="13"/>
      <c r="I49" s="11"/>
      <c r="J49" s="13"/>
      <c r="K49" s="8">
        <f t="shared" si="13"/>
        <v>2740</v>
      </c>
      <c r="L49" s="146">
        <f>'5 Year Plan'!$D$20/12*'Sales Projections_UandC'!Z49</f>
        <v>2.9333333333333336</v>
      </c>
      <c r="M49" s="13"/>
      <c r="N49" s="11"/>
      <c r="O49" s="13"/>
      <c r="P49" s="8">
        <f t="shared" si="10"/>
        <v>4160</v>
      </c>
      <c r="Q49" s="146">
        <f>'5 Year Plan'!$D$23/12*'Sales Projections_UandC'!Z49</f>
        <v>5.041666666666667</v>
      </c>
      <c r="S49" s="11"/>
      <c r="T49" s="13"/>
      <c r="U49" s="8">
        <f t="shared" si="11"/>
        <v>5980</v>
      </c>
      <c r="V49" s="146">
        <f>'5 Year Plan'!$D$26/12*'Sales Projections_UandC'!Z49</f>
        <v>5.8666666666666671</v>
      </c>
      <c r="X49" s="38">
        <f>D49*E49+F49*G49+I49*J49+K49*L49+N49*O49+P49*Q49+S49*T49+U49*V49</f>
        <v>70792.333333333343</v>
      </c>
      <c r="Z49" s="44">
        <v>1.1000000000000001</v>
      </c>
      <c r="AA49" s="7"/>
    </row>
    <row r="50" spans="2:27" ht="16.5" x14ac:dyDescent="0.85">
      <c r="B50" s="6"/>
      <c r="C50" s="7" t="s">
        <v>1</v>
      </c>
      <c r="D50" s="11"/>
      <c r="E50" s="13"/>
      <c r="F50" s="8"/>
      <c r="G50" s="15"/>
      <c r="H50" s="13"/>
      <c r="I50" s="93"/>
      <c r="J50" s="94"/>
      <c r="K50" s="94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772280</v>
      </c>
      <c r="AA50" s="9"/>
    </row>
    <row r="51" spans="2:27" ht="16.5" x14ac:dyDescent="0.85">
      <c r="B51" s="6"/>
      <c r="C51" s="7"/>
      <c r="D51" s="8"/>
      <c r="E51" s="13"/>
      <c r="F51" s="8"/>
      <c r="G51" s="13"/>
      <c r="H51" s="13"/>
      <c r="I51" s="94"/>
      <c r="J51" s="94"/>
      <c r="K51" s="94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7"/>
      <c r="AA51" s="9"/>
    </row>
    <row r="52" spans="2:27" ht="16.5" x14ac:dyDescent="0.85">
      <c r="B52" s="6"/>
      <c r="C52" s="7"/>
      <c r="D52" s="8"/>
      <c r="E52" s="13"/>
      <c r="F52" s="8"/>
      <c r="G52" s="13"/>
      <c r="H52" s="13"/>
      <c r="I52" s="94"/>
      <c r="J52" s="94"/>
      <c r="K52" s="94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 ht="21.75" customHeight="1" x14ac:dyDescent="0.35">
      <c r="B53" s="6"/>
      <c r="C53" s="7"/>
      <c r="D53" s="8"/>
      <c r="E53" s="13"/>
      <c r="F53" s="8"/>
      <c r="G53" s="13"/>
      <c r="H53" s="13"/>
      <c r="I53" s="94"/>
      <c r="J53" s="94"/>
      <c r="K53" s="94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 x14ac:dyDescent="0.35">
      <c r="B54" s="6"/>
      <c r="C54" s="6"/>
    </row>
    <row r="55" spans="2:27" x14ac:dyDescent="0.35">
      <c r="B55" s="6"/>
      <c r="C55" s="6"/>
    </row>
    <row r="56" spans="2:27" x14ac:dyDescent="0.35">
      <c r="B56" s="6"/>
      <c r="C56" s="6"/>
    </row>
    <row r="57" spans="2:27" x14ac:dyDescent="0.35">
      <c r="B57" s="6"/>
      <c r="C57" s="6"/>
    </row>
    <row r="58" spans="2:27" x14ac:dyDescent="0.35">
      <c r="B58" s="6"/>
      <c r="C58" s="6"/>
    </row>
    <row r="59" spans="2:27" x14ac:dyDescent="0.35">
      <c r="B59" s="6"/>
      <c r="C59" s="6"/>
    </row>
    <row r="60" spans="2:27" x14ac:dyDescent="0.35">
      <c r="B60" s="6"/>
      <c r="C60" s="6"/>
    </row>
    <row r="61" spans="2:27" x14ac:dyDescent="0.35">
      <c r="B61" s="6"/>
      <c r="C61" s="6"/>
    </row>
    <row r="62" spans="2:27" x14ac:dyDescent="0.35">
      <c r="B62" s="6"/>
      <c r="C62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BG61"/>
  <sheetViews>
    <sheetView showGridLines="0" topLeftCell="AA1" zoomScale="75" workbookViewId="0">
      <selection activeCell="AM6" sqref="AM6"/>
    </sheetView>
  </sheetViews>
  <sheetFormatPr defaultRowHeight="12.75" x14ac:dyDescent="0.35"/>
  <cols>
    <col min="1" max="3" width="0" hidden="1" customWidth="1"/>
    <col min="4" max="4" width="15.73046875" hidden="1" customWidth="1"/>
    <col min="5" max="5" width="9.73046875" hidden="1" customWidth="1"/>
    <col min="6" max="6" width="15.73046875" hidden="1" customWidth="1"/>
    <col min="7" max="7" width="9.73046875" hidden="1" customWidth="1"/>
    <col min="8" max="8" width="2.265625" hidden="1" customWidth="1"/>
    <col min="9" max="9" width="15.73046875" hidden="1" customWidth="1"/>
    <col min="10" max="10" width="9.73046875" hidden="1" customWidth="1"/>
    <col min="11" max="11" width="15.73046875" hidden="1" customWidth="1"/>
    <col min="12" max="12" width="9.73046875" hidden="1" customWidth="1"/>
    <col min="13" max="13" width="2.265625" hidden="1" customWidth="1"/>
    <col min="14" max="14" width="15.73046875" hidden="1" customWidth="1"/>
    <col min="15" max="15" width="9.73046875" hidden="1" customWidth="1"/>
    <col min="16" max="16" width="15.73046875" hidden="1" customWidth="1"/>
    <col min="17" max="17" width="9.73046875" hidden="1" customWidth="1"/>
    <col min="18" max="18" width="2.265625" hidden="1" customWidth="1"/>
    <col min="19" max="19" width="15.73046875" hidden="1" customWidth="1"/>
    <col min="20" max="20" width="9.73046875" hidden="1" customWidth="1"/>
    <col min="21" max="21" width="15.73046875" hidden="1" customWidth="1"/>
    <col min="22" max="22" width="9.73046875" hidden="1" customWidth="1"/>
    <col min="23" max="23" width="2.265625" hidden="1" customWidth="1"/>
    <col min="24" max="24" width="15.73046875" hidden="1" customWidth="1"/>
    <col min="25" max="25" width="0" hidden="1" customWidth="1"/>
    <col min="26" max="26" width="12.1328125" hidden="1" customWidth="1"/>
    <col min="27" max="28" width="9.73046875" customWidth="1"/>
    <col min="29" max="29" width="15.73046875" customWidth="1"/>
    <col min="30" max="30" width="12.73046875" customWidth="1"/>
    <col min="31" max="31" width="15.73046875" customWidth="1"/>
    <col min="32" max="32" width="12.73046875" customWidth="1"/>
    <col min="33" max="33" width="9.73046875" customWidth="1"/>
    <col min="34" max="34" width="15.73046875" customWidth="1"/>
    <col min="35" max="35" width="12.73046875" customWidth="1"/>
    <col min="36" max="36" width="15.73046875" customWidth="1"/>
    <col min="37" max="37" width="12.73046875" customWidth="1"/>
    <col min="38" max="38" width="9.73046875" customWidth="1"/>
    <col min="39" max="39" width="15.73046875" customWidth="1"/>
  </cols>
  <sheetData>
    <row r="2" spans="2:39" x14ac:dyDescent="0.35">
      <c r="B2" s="19" t="s">
        <v>31</v>
      </c>
      <c r="AA2" s="19" t="s">
        <v>30</v>
      </c>
    </row>
    <row r="4" spans="2:39" ht="13.5" thickBot="1" x14ac:dyDescent="0.45">
      <c r="B4" s="18" t="s">
        <v>29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AA4" s="18" t="s">
        <v>29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21"/>
    </row>
    <row r="5" spans="2:39" x14ac:dyDescent="0.35">
      <c r="D5" s="208" t="s">
        <v>10</v>
      </c>
      <c r="E5" s="208"/>
      <c r="F5" s="208"/>
      <c r="G5" s="208"/>
      <c r="H5" s="208"/>
      <c r="I5" s="208"/>
      <c r="J5" s="209"/>
      <c r="K5" s="209"/>
      <c r="L5" s="209"/>
      <c r="M5" s="209"/>
      <c r="N5" s="209"/>
      <c r="O5" s="209"/>
      <c r="P5" s="209"/>
      <c r="Q5" s="209"/>
      <c r="R5" s="209"/>
      <c r="S5" s="209"/>
      <c r="T5" s="209"/>
      <c r="U5" s="209"/>
      <c r="V5" s="209"/>
      <c r="W5" s="209"/>
      <c r="X5" s="209"/>
      <c r="AA5" s="208" t="s">
        <v>154</v>
      </c>
      <c r="AB5" s="209"/>
      <c r="AC5" s="209"/>
      <c r="AD5" s="209"/>
      <c r="AE5" s="209"/>
      <c r="AF5" s="209"/>
      <c r="AG5" s="209"/>
      <c r="AH5" s="209"/>
      <c r="AI5" s="209"/>
      <c r="AJ5" s="209"/>
      <c r="AK5" s="209"/>
      <c r="AL5" s="209"/>
      <c r="AM5" s="209"/>
    </row>
    <row r="6" spans="2:39" x14ac:dyDescent="0.35">
      <c r="D6" s="10" t="s">
        <v>6</v>
      </c>
      <c r="E6" s="10" t="s">
        <v>24</v>
      </c>
      <c r="F6" s="10" t="s">
        <v>6</v>
      </c>
      <c r="G6" s="10" t="s">
        <v>24</v>
      </c>
      <c r="H6" s="10"/>
      <c r="I6" s="10" t="s">
        <v>7</v>
      </c>
      <c r="J6" s="10" t="s">
        <v>24</v>
      </c>
      <c r="K6" s="10" t="s">
        <v>7</v>
      </c>
      <c r="L6" s="10" t="s">
        <v>24</v>
      </c>
      <c r="M6" s="10"/>
      <c r="N6" s="10" t="s">
        <v>8</v>
      </c>
      <c r="O6" s="10" t="s">
        <v>24</v>
      </c>
      <c r="P6" s="10" t="s">
        <v>8</v>
      </c>
      <c r="Q6" s="10" t="s">
        <v>24</v>
      </c>
      <c r="R6" s="2"/>
      <c r="S6" s="10" t="s">
        <v>9</v>
      </c>
      <c r="T6" s="10" t="s">
        <v>24</v>
      </c>
      <c r="U6" s="10" t="s">
        <v>9</v>
      </c>
      <c r="V6" s="10" t="s">
        <v>24</v>
      </c>
      <c r="W6" s="2"/>
      <c r="X6" s="17" t="s">
        <v>1</v>
      </c>
      <c r="Z6" s="10"/>
      <c r="AC6" s="10" t="s">
        <v>6</v>
      </c>
      <c r="AD6" s="10" t="s">
        <v>24</v>
      </c>
      <c r="AE6" s="10" t="s">
        <v>6</v>
      </c>
      <c r="AF6" s="10" t="s">
        <v>24</v>
      </c>
      <c r="AG6" s="10"/>
      <c r="AH6" s="10" t="s">
        <v>7</v>
      </c>
      <c r="AI6" s="10" t="s">
        <v>24</v>
      </c>
      <c r="AJ6" s="10" t="s">
        <v>7</v>
      </c>
      <c r="AK6" s="10" t="s">
        <v>24</v>
      </c>
      <c r="AL6" s="10"/>
    </row>
    <row r="7" spans="2:39" x14ac:dyDescent="0.35">
      <c r="D7" s="16" t="s">
        <v>27</v>
      </c>
      <c r="E7" s="10"/>
      <c r="F7" s="32"/>
      <c r="G7" s="14"/>
      <c r="H7" s="10"/>
      <c r="I7" s="16" t="s">
        <v>27</v>
      </c>
      <c r="J7" s="10"/>
      <c r="K7" s="32"/>
      <c r="L7" s="14"/>
      <c r="M7" s="10"/>
      <c r="N7" s="16" t="s">
        <v>27</v>
      </c>
      <c r="O7" s="10"/>
      <c r="P7" s="32"/>
      <c r="Q7" s="14"/>
      <c r="S7" s="16" t="s">
        <v>27</v>
      </c>
      <c r="T7" s="10"/>
      <c r="U7" s="32"/>
      <c r="V7" s="14"/>
      <c r="X7" s="36"/>
      <c r="AC7" s="32" t="s">
        <v>27</v>
      </c>
      <c r="AD7" s="10"/>
      <c r="AE7" s="32" t="s">
        <v>28</v>
      </c>
      <c r="AH7" s="32" t="s">
        <v>27</v>
      </c>
      <c r="AI7" s="10"/>
      <c r="AJ7" s="32" t="s">
        <v>28</v>
      </c>
    </row>
    <row r="8" spans="2:39" ht="13.15" x14ac:dyDescent="0.4">
      <c r="B8" s="7">
        <v>2006</v>
      </c>
      <c r="C8" s="7" t="s">
        <v>19</v>
      </c>
      <c r="D8" s="11">
        <f>'5 Year Plan'!B143</f>
        <v>590</v>
      </c>
      <c r="E8" s="94">
        <f>'5 Year Plan'!$B$33/12*'Sales Projections_UandC'!Z8</f>
        <v>0.41666666666666674</v>
      </c>
      <c r="F8" s="8"/>
      <c r="G8" s="15"/>
      <c r="H8" s="13"/>
      <c r="I8" s="11">
        <f>'5 Year Plan'!B144</f>
        <v>1890</v>
      </c>
      <c r="J8" s="94">
        <f>'5 Year Plan'!$B$36/12*'Sales Projections_UandC'!Z8</f>
        <v>0.13333333333333333</v>
      </c>
      <c r="K8" s="8"/>
      <c r="L8" s="15"/>
      <c r="M8" s="13"/>
      <c r="N8" s="11">
        <f>'5 Year Plan'!B145</f>
        <v>2880</v>
      </c>
      <c r="O8" s="94">
        <f>'5 Year Plan'!$B$39/12*'Sales Projections_UandC'!Z8</f>
        <v>0.18333333333333335</v>
      </c>
      <c r="P8" s="8"/>
      <c r="Q8" s="15"/>
      <c r="S8" s="11">
        <f>'5 Year Plan'!B146</f>
        <v>4140</v>
      </c>
      <c r="T8" s="94">
        <f>'5 Year Plan'!$B$42/12*'Sales Projections_UandC'!Z8</f>
        <v>0.18333333333333335</v>
      </c>
      <c r="U8" s="8"/>
      <c r="V8" s="15"/>
      <c r="X8" s="37">
        <f>D8*E8+F8*G8+I8*J8+K8*L8+N8*O8+P8*Q8+S8*T8+U8*V8</f>
        <v>1784.8333333333335</v>
      </c>
      <c r="Z8" s="44">
        <v>0.2</v>
      </c>
      <c r="AA8" s="7">
        <v>2006</v>
      </c>
      <c r="AB8" s="1" t="s">
        <v>58</v>
      </c>
      <c r="AC8" s="22">
        <f>D8</f>
        <v>590</v>
      </c>
      <c r="AD8" s="145">
        <f>ROUND(SUM(E8:E10),0)</f>
        <v>3</v>
      </c>
      <c r="AE8" s="22">
        <f>F8</f>
        <v>0</v>
      </c>
      <c r="AF8" s="45">
        <f>SUM(G8:G10)</f>
        <v>0</v>
      </c>
      <c r="AH8" s="22">
        <f>I8</f>
        <v>1890</v>
      </c>
      <c r="AI8" s="145">
        <f>ROUND(SUM(J8:J10),0)</f>
        <v>1</v>
      </c>
      <c r="AJ8" s="22">
        <f>K8</f>
        <v>0</v>
      </c>
      <c r="AK8" s="45">
        <f>SUM(L8:L10)</f>
        <v>0</v>
      </c>
    </row>
    <row r="9" spans="2:39" ht="13.15" x14ac:dyDescent="0.4">
      <c r="B9" s="7"/>
      <c r="C9" s="7" t="s">
        <v>18</v>
      </c>
      <c r="D9" s="11">
        <f t="shared" ref="D9:D19" si="0">D8</f>
        <v>590</v>
      </c>
      <c r="E9" s="94">
        <f>'5 Year Plan'!$B$33/12*'Sales Projections_UandC'!Z9</f>
        <v>0.83333333333333348</v>
      </c>
      <c r="F9" s="8"/>
      <c r="G9" s="15"/>
      <c r="H9" s="13"/>
      <c r="I9" s="11">
        <f t="shared" ref="I9:I19" si="1">I8</f>
        <v>1890</v>
      </c>
      <c r="J9" s="94">
        <f>'5 Year Plan'!$B$36/12*'Sales Projections_UandC'!Z9</f>
        <v>0.26666666666666666</v>
      </c>
      <c r="K9" s="8"/>
      <c r="L9" s="15"/>
      <c r="M9" s="13"/>
      <c r="N9" s="11">
        <f t="shared" ref="N9:N19" si="2">N8</f>
        <v>2880</v>
      </c>
      <c r="O9" s="94">
        <f>'5 Year Plan'!$B$39/12*'Sales Projections_UandC'!Z9</f>
        <v>0.3666666666666667</v>
      </c>
      <c r="P9" s="8"/>
      <c r="Q9" s="15"/>
      <c r="S9" s="11">
        <f t="shared" ref="S9:S19" si="3">S8</f>
        <v>4140</v>
      </c>
      <c r="T9" s="94">
        <f>'5 Year Plan'!$B$42/12*'Sales Projections_UandC'!Z9</f>
        <v>0.3666666666666667</v>
      </c>
      <c r="U9" s="8"/>
      <c r="V9" s="15"/>
      <c r="X9" s="37">
        <f t="shared" ref="X9:X19" si="4">D9*E9+F9*G9+I9*J9+K9*L9+N9*O9+P9*Q9+S9*T9+U9*V9</f>
        <v>3569.666666666667</v>
      </c>
      <c r="Z9" s="44">
        <v>0.4</v>
      </c>
      <c r="AB9" s="1" t="s">
        <v>59</v>
      </c>
      <c r="AC9" s="22">
        <f>D11</f>
        <v>590</v>
      </c>
      <c r="AD9" s="145">
        <f>ROUND(SUM(E11:E13),0)</f>
        <v>6</v>
      </c>
      <c r="AE9" s="22">
        <f>F11</f>
        <v>0</v>
      </c>
      <c r="AF9" s="45">
        <f>SUM(G11:G13)</f>
        <v>0</v>
      </c>
      <c r="AH9" s="22">
        <f>I11</f>
        <v>1890</v>
      </c>
      <c r="AI9" s="145">
        <f>ROUND(SUM(J11:J13),0)</f>
        <v>2</v>
      </c>
      <c r="AJ9" s="22">
        <f>K11</f>
        <v>0</v>
      </c>
      <c r="AK9" s="45">
        <f>SUM(L11:L13)</f>
        <v>0</v>
      </c>
    </row>
    <row r="10" spans="2:39" ht="13.15" x14ac:dyDescent="0.4">
      <c r="B10" s="7"/>
      <c r="C10" s="7" t="s">
        <v>17</v>
      </c>
      <c r="D10" s="11">
        <f t="shared" si="0"/>
        <v>590</v>
      </c>
      <c r="E10" s="94">
        <f>'5 Year Plan'!$B$33/12*'Sales Projections_UandC'!Z10</f>
        <v>1.25</v>
      </c>
      <c r="F10" s="8"/>
      <c r="G10" s="15"/>
      <c r="H10" s="13"/>
      <c r="I10" s="11">
        <f t="shared" si="1"/>
        <v>1890</v>
      </c>
      <c r="J10" s="94">
        <f>'5 Year Plan'!$B$36/12*'Sales Projections_UandC'!Z10</f>
        <v>0.39999999999999997</v>
      </c>
      <c r="K10" s="8"/>
      <c r="L10" s="15"/>
      <c r="M10" s="13"/>
      <c r="N10" s="11">
        <f t="shared" si="2"/>
        <v>2880</v>
      </c>
      <c r="O10" s="94">
        <f>'5 Year Plan'!$B$39/12*'Sales Projections_UandC'!Z10</f>
        <v>0.54999999999999993</v>
      </c>
      <c r="P10" s="8"/>
      <c r="Q10" s="15"/>
      <c r="S10" s="11">
        <f t="shared" si="3"/>
        <v>4140</v>
      </c>
      <c r="T10" s="94">
        <f>'5 Year Plan'!$B$42/12*'Sales Projections_UandC'!Z10</f>
        <v>0.54999999999999993</v>
      </c>
      <c r="U10" s="8"/>
      <c r="V10" s="15"/>
      <c r="X10" s="37">
        <f t="shared" si="4"/>
        <v>5354.5</v>
      </c>
      <c r="Z10" s="44">
        <v>0.6</v>
      </c>
      <c r="AA10" s="1">
        <v>2007</v>
      </c>
      <c r="AB10" s="1" t="s">
        <v>60</v>
      </c>
      <c r="AC10" s="22">
        <f>D14</f>
        <v>590</v>
      </c>
      <c r="AD10" s="145">
        <f>ROUND(SUM(E14:E16),0)</f>
        <v>7</v>
      </c>
      <c r="AE10" s="22">
        <f>F14</f>
        <v>0</v>
      </c>
      <c r="AF10" s="45">
        <f>SUM(G14:G16)</f>
        <v>0</v>
      </c>
      <c r="AH10" s="22">
        <f>I14</f>
        <v>1890</v>
      </c>
      <c r="AI10" s="145">
        <f>ROUND(SUM(J14:J16),0)</f>
        <v>2</v>
      </c>
      <c r="AJ10" s="22">
        <f>K14</f>
        <v>0</v>
      </c>
      <c r="AK10" s="45">
        <f>SUM(L14:L16)</f>
        <v>0</v>
      </c>
    </row>
    <row r="11" spans="2:39" ht="13.15" x14ac:dyDescent="0.4">
      <c r="B11" s="7"/>
      <c r="C11" s="7" t="s">
        <v>16</v>
      </c>
      <c r="D11" s="11">
        <f t="shared" si="0"/>
        <v>590</v>
      </c>
      <c r="E11" s="94">
        <f>'5 Year Plan'!$B$33/12*'Sales Projections_UandC'!Z11</f>
        <v>1.666666666666667</v>
      </c>
      <c r="F11" s="8"/>
      <c r="G11" s="15"/>
      <c r="H11" s="13"/>
      <c r="I11" s="11">
        <f t="shared" si="1"/>
        <v>1890</v>
      </c>
      <c r="J11" s="94">
        <f>'5 Year Plan'!$B$36/12*'Sales Projections_UandC'!Z11</f>
        <v>0.53333333333333333</v>
      </c>
      <c r="K11" s="8"/>
      <c r="L11" s="15"/>
      <c r="M11" s="13"/>
      <c r="N11" s="11">
        <f t="shared" si="2"/>
        <v>2880</v>
      </c>
      <c r="O11" s="94">
        <f>'5 Year Plan'!$B$39/12*'Sales Projections_UandC'!Z11</f>
        <v>0.73333333333333339</v>
      </c>
      <c r="P11" s="8"/>
      <c r="Q11" s="15"/>
      <c r="S11" s="11">
        <f t="shared" si="3"/>
        <v>4140</v>
      </c>
      <c r="T11" s="94">
        <f>'5 Year Plan'!$B$42/12*'Sales Projections_UandC'!Z11</f>
        <v>0.73333333333333339</v>
      </c>
      <c r="U11" s="8"/>
      <c r="V11" s="15"/>
      <c r="X11" s="37">
        <f t="shared" si="4"/>
        <v>7139.3333333333339</v>
      </c>
      <c r="Z11" s="44">
        <v>0.8</v>
      </c>
      <c r="AA11" s="1"/>
      <c r="AB11" s="1" t="s">
        <v>61</v>
      </c>
      <c r="AC11" s="22">
        <f>D17</f>
        <v>590</v>
      </c>
      <c r="AD11" s="145">
        <f>'5 Year Plan'!B33-SUM(AD8:AD10)</f>
        <v>9</v>
      </c>
      <c r="AE11" s="22">
        <f>F17</f>
        <v>0</v>
      </c>
      <c r="AF11" s="45">
        <f>SUM(G17:G19)</f>
        <v>0</v>
      </c>
      <c r="AH11" s="22">
        <f>I17</f>
        <v>1890</v>
      </c>
      <c r="AI11" s="145">
        <f>'5 Year Plan'!B36-SUM(AI8:AI10)</f>
        <v>3</v>
      </c>
      <c r="AJ11" s="22">
        <f>K17</f>
        <v>0</v>
      </c>
      <c r="AK11" s="45">
        <f>SUM(L17:L19)</f>
        <v>0</v>
      </c>
    </row>
    <row r="12" spans="2:39" ht="13.15" x14ac:dyDescent="0.4">
      <c r="B12" s="7"/>
      <c r="C12" s="7" t="s">
        <v>15</v>
      </c>
      <c r="D12" s="11">
        <f t="shared" si="0"/>
        <v>590</v>
      </c>
      <c r="E12" s="94">
        <f>'5 Year Plan'!$B$33/12*'Sales Projections_UandC'!Z12</f>
        <v>2.0833333333333335</v>
      </c>
      <c r="F12" s="8"/>
      <c r="G12" s="15"/>
      <c r="H12" s="13"/>
      <c r="I12" s="11">
        <f t="shared" si="1"/>
        <v>1890</v>
      </c>
      <c r="J12" s="94">
        <f>'5 Year Plan'!$B$36/12*'Sales Projections_UandC'!Z12</f>
        <v>0.66666666666666663</v>
      </c>
      <c r="K12" s="8"/>
      <c r="L12" s="15"/>
      <c r="M12" s="13"/>
      <c r="N12" s="11">
        <f t="shared" si="2"/>
        <v>2880</v>
      </c>
      <c r="O12" s="94">
        <f>'5 Year Plan'!$B$39/12*'Sales Projections_UandC'!Z12</f>
        <v>0.91666666666666663</v>
      </c>
      <c r="P12" s="8"/>
      <c r="Q12" s="15"/>
      <c r="S12" s="11">
        <f t="shared" si="3"/>
        <v>4140</v>
      </c>
      <c r="T12" s="94">
        <f>'5 Year Plan'!$B$42/12*'Sales Projections_UandC'!Z12</f>
        <v>0.91666666666666663</v>
      </c>
      <c r="U12" s="8"/>
      <c r="V12" s="15"/>
      <c r="X12" s="37">
        <f t="shared" si="4"/>
        <v>8924.1666666666679</v>
      </c>
      <c r="Z12" s="44">
        <v>1</v>
      </c>
      <c r="AB12" s="1" t="s">
        <v>1</v>
      </c>
      <c r="AD12" s="45"/>
      <c r="AF12" s="45"/>
      <c r="AI12" s="45"/>
      <c r="AK12" s="45"/>
    </row>
    <row r="13" spans="2:39" x14ac:dyDescent="0.35">
      <c r="B13" s="7"/>
      <c r="C13" s="7" t="s">
        <v>14</v>
      </c>
      <c r="D13" s="11">
        <f t="shared" si="0"/>
        <v>590</v>
      </c>
      <c r="E13" s="94">
        <f>'5 Year Plan'!$B$33/12*'Sales Projections_UandC'!Z13</f>
        <v>2.0833333333333335</v>
      </c>
      <c r="F13" s="8"/>
      <c r="G13" s="15"/>
      <c r="H13" s="13"/>
      <c r="I13" s="11">
        <f t="shared" si="1"/>
        <v>1890</v>
      </c>
      <c r="J13" s="94">
        <f>'5 Year Plan'!$B$36/12*'Sales Projections_UandC'!Z13</f>
        <v>0.66666666666666663</v>
      </c>
      <c r="K13" s="8"/>
      <c r="L13" s="15"/>
      <c r="M13" s="13"/>
      <c r="N13" s="11">
        <f t="shared" si="2"/>
        <v>2880</v>
      </c>
      <c r="O13" s="94">
        <f>'5 Year Plan'!$B$39/12*'Sales Projections_UandC'!Z13</f>
        <v>0.91666666666666663</v>
      </c>
      <c r="P13" s="8"/>
      <c r="Q13" s="15"/>
      <c r="S13" s="11">
        <f t="shared" si="3"/>
        <v>4140</v>
      </c>
      <c r="T13" s="94">
        <f>'5 Year Plan'!$B$42/12*'Sales Projections_UandC'!Z13</f>
        <v>0.91666666666666663</v>
      </c>
      <c r="U13" s="8"/>
      <c r="V13" s="15"/>
      <c r="X13" s="37">
        <f t="shared" si="4"/>
        <v>8924.1666666666679</v>
      </c>
      <c r="Z13" s="44">
        <v>1</v>
      </c>
      <c r="AD13" s="45"/>
      <c r="AF13" s="45"/>
      <c r="AI13" s="45"/>
      <c r="AK13" s="45"/>
    </row>
    <row r="14" spans="2:39" ht="13.15" x14ac:dyDescent="0.4">
      <c r="B14" s="7"/>
      <c r="C14" s="7" t="s">
        <v>13</v>
      </c>
      <c r="D14" s="11">
        <f t="shared" si="0"/>
        <v>590</v>
      </c>
      <c r="E14" s="94">
        <f>'5 Year Plan'!$B$33/12*'Sales Projections_UandC'!Z14</f>
        <v>2.0833333333333335</v>
      </c>
      <c r="F14" s="8"/>
      <c r="G14" s="15"/>
      <c r="H14" s="13"/>
      <c r="I14" s="11">
        <f t="shared" si="1"/>
        <v>1890</v>
      </c>
      <c r="J14" s="94">
        <f>'5 Year Plan'!$B$36/12*'Sales Projections_UandC'!Z14</f>
        <v>0.66666666666666663</v>
      </c>
      <c r="K14" s="8"/>
      <c r="L14" s="15"/>
      <c r="M14" s="13"/>
      <c r="N14" s="11">
        <f t="shared" si="2"/>
        <v>2880</v>
      </c>
      <c r="O14" s="94">
        <f>'5 Year Plan'!$B$39/12*'Sales Projections_UandC'!Z14</f>
        <v>0.91666666666666663</v>
      </c>
      <c r="P14" s="8"/>
      <c r="Q14" s="15"/>
      <c r="S14" s="11">
        <f t="shared" si="3"/>
        <v>4140</v>
      </c>
      <c r="T14" s="94">
        <f>'5 Year Plan'!$B$42/12*'Sales Projections_UandC'!Z14</f>
        <v>0.91666666666666663</v>
      </c>
      <c r="U14" s="8"/>
      <c r="V14" s="15"/>
      <c r="X14" s="37">
        <f t="shared" si="4"/>
        <v>8924.1666666666679</v>
      </c>
      <c r="Z14" s="44">
        <v>1</v>
      </c>
      <c r="AB14" s="1" t="s">
        <v>58</v>
      </c>
      <c r="AC14" s="22">
        <f>D23</f>
        <v>0</v>
      </c>
      <c r="AD14" s="45">
        <f>SUM(E23:E25)</f>
        <v>0</v>
      </c>
      <c r="AE14" s="22">
        <f>F23</f>
        <v>740</v>
      </c>
      <c r="AF14" s="145">
        <f>ROUND(SUM(G23:G25),0)</f>
        <v>9</v>
      </c>
      <c r="AH14" s="22">
        <f>I23</f>
        <v>0</v>
      </c>
      <c r="AI14" s="45">
        <f>SUM(J23:J25)</f>
        <v>0</v>
      </c>
      <c r="AJ14" s="22">
        <f>K23</f>
        <v>2360</v>
      </c>
      <c r="AK14" s="145">
        <f>ROUND(SUM(L23:L25),0)</f>
        <v>3</v>
      </c>
    </row>
    <row r="15" spans="2:39" ht="13.15" x14ac:dyDescent="0.4">
      <c r="B15" s="7"/>
      <c r="C15" s="7" t="s">
        <v>21</v>
      </c>
      <c r="D15" s="11">
        <f t="shared" si="0"/>
        <v>590</v>
      </c>
      <c r="E15" s="94">
        <f>'5 Year Plan'!$B$33/12*'Sales Projections_UandC'!Z15</f>
        <v>2.0833333333333335</v>
      </c>
      <c r="F15" s="8"/>
      <c r="G15" s="15"/>
      <c r="H15" s="13"/>
      <c r="I15" s="11">
        <f t="shared" si="1"/>
        <v>1890</v>
      </c>
      <c r="J15" s="94">
        <f>'5 Year Plan'!$B$36/12*'Sales Projections_UandC'!Z15</f>
        <v>0.66666666666666663</v>
      </c>
      <c r="K15" s="8"/>
      <c r="L15" s="15"/>
      <c r="M15" s="13"/>
      <c r="N15" s="11">
        <f t="shared" si="2"/>
        <v>2880</v>
      </c>
      <c r="O15" s="94">
        <f>'5 Year Plan'!$B$39/12*'Sales Projections_UandC'!Z15</f>
        <v>0.91666666666666663</v>
      </c>
      <c r="P15" s="8"/>
      <c r="Q15" s="15"/>
      <c r="S15" s="11">
        <f t="shared" si="3"/>
        <v>4140</v>
      </c>
      <c r="T15" s="94">
        <f>'5 Year Plan'!$B$42/12*'Sales Projections_UandC'!Z15</f>
        <v>0.91666666666666663</v>
      </c>
      <c r="U15" s="8"/>
      <c r="V15" s="15"/>
      <c r="X15" s="37">
        <f t="shared" si="4"/>
        <v>8924.1666666666679</v>
      </c>
      <c r="Z15" s="44">
        <v>1</v>
      </c>
      <c r="AB15" s="1" t="s">
        <v>59</v>
      </c>
      <c r="AC15" s="22">
        <f>D26</f>
        <v>0</v>
      </c>
      <c r="AD15" s="45">
        <f>SUM(E26:E28)</f>
        <v>0</v>
      </c>
      <c r="AE15" s="22">
        <f>F26</f>
        <v>740</v>
      </c>
      <c r="AF15" s="145">
        <f>ROUND(SUM(G26:G28),0)</f>
        <v>10</v>
      </c>
      <c r="AH15" s="22">
        <f>I26</f>
        <v>0</v>
      </c>
      <c r="AI15" s="45">
        <f>SUM(J26:J28)</f>
        <v>0</v>
      </c>
      <c r="AJ15" s="22">
        <f>K26</f>
        <v>2360</v>
      </c>
      <c r="AK15" s="145">
        <f>ROUND(SUM(L26:L28),0)</f>
        <v>4</v>
      </c>
    </row>
    <row r="16" spans="2:39" ht="13.15" x14ac:dyDescent="0.4">
      <c r="B16" s="7"/>
      <c r="C16" s="7" t="s">
        <v>22</v>
      </c>
      <c r="D16" s="11">
        <f t="shared" si="0"/>
        <v>590</v>
      </c>
      <c r="E16" s="94">
        <f>'5 Year Plan'!$B$33/12*'Sales Projections_UandC'!Z16</f>
        <v>2.5</v>
      </c>
      <c r="F16" s="8"/>
      <c r="G16" s="15"/>
      <c r="H16" s="13"/>
      <c r="I16" s="11">
        <f t="shared" si="1"/>
        <v>1890</v>
      </c>
      <c r="J16" s="94">
        <f>'5 Year Plan'!$B$36/12*'Sales Projections_UandC'!Z16</f>
        <v>0.79999999999999993</v>
      </c>
      <c r="K16" s="8"/>
      <c r="L16" s="15"/>
      <c r="M16" s="13"/>
      <c r="N16" s="11">
        <f t="shared" si="2"/>
        <v>2880</v>
      </c>
      <c r="O16" s="94">
        <f>'5 Year Plan'!$B$39/12*'Sales Projections_UandC'!Z16</f>
        <v>1.0999999999999999</v>
      </c>
      <c r="P16" s="8"/>
      <c r="Q16" s="15"/>
      <c r="S16" s="11">
        <f t="shared" si="3"/>
        <v>4140</v>
      </c>
      <c r="T16" s="94">
        <f>'5 Year Plan'!$B$42/12*'Sales Projections_UandC'!Z16</f>
        <v>1.0999999999999999</v>
      </c>
      <c r="U16" s="8"/>
      <c r="V16" s="15"/>
      <c r="X16" s="37">
        <f t="shared" si="4"/>
        <v>10709</v>
      </c>
      <c r="Z16" s="44">
        <v>1.2</v>
      </c>
      <c r="AA16" s="1">
        <v>2008</v>
      </c>
      <c r="AB16" s="1" t="s">
        <v>60</v>
      </c>
      <c r="AC16" s="22">
        <f>D29</f>
        <v>0</v>
      </c>
      <c r="AD16" s="45">
        <f>SUM(E29:E31)</f>
        <v>0</v>
      </c>
      <c r="AE16" s="22">
        <f>F29</f>
        <v>740</v>
      </c>
      <c r="AF16" s="145">
        <f>ROUND(SUM(G29:G31),0)</f>
        <v>10</v>
      </c>
      <c r="AH16" s="22">
        <f>I29</f>
        <v>0</v>
      </c>
      <c r="AI16" s="45">
        <f>SUM(J29:J31)</f>
        <v>0</v>
      </c>
      <c r="AJ16" s="22">
        <f>K29</f>
        <v>2360</v>
      </c>
      <c r="AK16" s="145">
        <f>ROUND(SUM(L29:L31),0)</f>
        <v>4</v>
      </c>
    </row>
    <row r="17" spans="2:39" ht="13.15" x14ac:dyDescent="0.4">
      <c r="B17" s="7"/>
      <c r="C17" s="7" t="s">
        <v>25</v>
      </c>
      <c r="D17" s="11">
        <f t="shared" si="0"/>
        <v>590</v>
      </c>
      <c r="E17" s="94">
        <f>'5 Year Plan'!$B$33/12*'Sales Projections_UandC'!Z17</f>
        <v>2.9166666666666665</v>
      </c>
      <c r="F17" s="8"/>
      <c r="G17" s="15"/>
      <c r="H17" s="13"/>
      <c r="I17" s="11">
        <f t="shared" si="1"/>
        <v>1890</v>
      </c>
      <c r="J17" s="94">
        <f>'5 Year Plan'!$B$36/12*'Sales Projections_UandC'!Z17</f>
        <v>0.93333333333333324</v>
      </c>
      <c r="K17" s="8"/>
      <c r="L17" s="15"/>
      <c r="M17" s="13"/>
      <c r="N17" s="11">
        <f t="shared" si="2"/>
        <v>2880</v>
      </c>
      <c r="O17" s="94">
        <f>'5 Year Plan'!$B$39/12*'Sales Projections_UandC'!Z17</f>
        <v>1.2833333333333332</v>
      </c>
      <c r="P17" s="8"/>
      <c r="Q17" s="15"/>
      <c r="S17" s="11">
        <f t="shared" si="3"/>
        <v>4140</v>
      </c>
      <c r="T17" s="94">
        <f>'5 Year Plan'!$B$42/12*'Sales Projections_UandC'!Z17</f>
        <v>1.2833333333333332</v>
      </c>
      <c r="U17" s="8"/>
      <c r="V17" s="15"/>
      <c r="X17" s="37">
        <f t="shared" si="4"/>
        <v>12493.833333333332</v>
      </c>
      <c r="Z17" s="44">
        <v>1.4</v>
      </c>
      <c r="AB17" s="1" t="s">
        <v>61</v>
      </c>
      <c r="AC17" s="22">
        <f>D32</f>
        <v>0</v>
      </c>
      <c r="AD17" s="45">
        <f>SUM(E32:E34)</f>
        <v>0</v>
      </c>
      <c r="AE17" s="22">
        <f>F32</f>
        <v>740</v>
      </c>
      <c r="AF17" s="145">
        <f>'5 Year Plan'!C33-SUM(AF14:AF16)</f>
        <v>11</v>
      </c>
      <c r="AH17" s="22">
        <f>I32</f>
        <v>0</v>
      </c>
      <c r="AI17" s="45">
        <f>SUM(J32:J34)</f>
        <v>0</v>
      </c>
      <c r="AJ17" s="22">
        <f>K32</f>
        <v>2360</v>
      </c>
      <c r="AK17" s="145">
        <f>'5 Year Plan'!C36-SUM(AK14:AK16)</f>
        <v>3</v>
      </c>
    </row>
    <row r="18" spans="2:39" ht="13.15" x14ac:dyDescent="0.4">
      <c r="B18" s="7"/>
      <c r="C18" s="7" t="s">
        <v>20</v>
      </c>
      <c r="D18" s="11">
        <f t="shared" si="0"/>
        <v>590</v>
      </c>
      <c r="E18" s="94">
        <f>'5 Year Plan'!$B$33/12*'Sales Projections_UandC'!Z18</f>
        <v>3.3333333333333339</v>
      </c>
      <c r="F18" s="8"/>
      <c r="G18" s="15"/>
      <c r="H18" s="13"/>
      <c r="I18" s="11">
        <f t="shared" si="1"/>
        <v>1890</v>
      </c>
      <c r="J18" s="94">
        <f>'5 Year Plan'!$B$36/12*'Sales Projections_UandC'!Z18</f>
        <v>1.0666666666666667</v>
      </c>
      <c r="K18" s="8"/>
      <c r="L18" s="15"/>
      <c r="M18" s="13"/>
      <c r="N18" s="11">
        <f t="shared" si="2"/>
        <v>2880</v>
      </c>
      <c r="O18" s="94">
        <f>'5 Year Plan'!$B$39/12*'Sales Projections_UandC'!Z18</f>
        <v>1.4666666666666668</v>
      </c>
      <c r="P18" s="8"/>
      <c r="Q18" s="15"/>
      <c r="S18" s="11">
        <f t="shared" si="3"/>
        <v>4140</v>
      </c>
      <c r="T18" s="94">
        <f>'5 Year Plan'!$B$42/12*'Sales Projections_UandC'!Z18</f>
        <v>1.4666666666666668</v>
      </c>
      <c r="U18" s="8"/>
      <c r="V18" s="15"/>
      <c r="X18" s="37">
        <f t="shared" si="4"/>
        <v>14278.666666666668</v>
      </c>
      <c r="Z18" s="44">
        <v>1.6</v>
      </c>
      <c r="AB18" s="1" t="s">
        <v>1</v>
      </c>
      <c r="AD18" s="45"/>
      <c r="AF18" s="45"/>
      <c r="AI18" s="45"/>
      <c r="AK18" s="45"/>
    </row>
    <row r="19" spans="2:39" x14ac:dyDescent="0.35">
      <c r="B19" s="7"/>
      <c r="C19" s="7" t="s">
        <v>12</v>
      </c>
      <c r="D19" s="11">
        <f t="shared" si="0"/>
        <v>590</v>
      </c>
      <c r="E19" s="94">
        <f>'5 Year Plan'!$B$33/12*'Sales Projections_UandC'!Z19</f>
        <v>3.7500000000000004</v>
      </c>
      <c r="F19" s="8"/>
      <c r="G19" s="15"/>
      <c r="H19" s="13"/>
      <c r="I19" s="11">
        <f t="shared" si="1"/>
        <v>1890</v>
      </c>
      <c r="J19" s="94">
        <f>'5 Year Plan'!$B$36/12*'Sales Projections_UandC'!Z19</f>
        <v>1.2</v>
      </c>
      <c r="K19" s="8"/>
      <c r="L19" s="15"/>
      <c r="M19" s="13"/>
      <c r="N19" s="11">
        <f t="shared" si="2"/>
        <v>2880</v>
      </c>
      <c r="O19" s="94">
        <f>'5 Year Plan'!$B$39/12*'Sales Projections_UandC'!Z19</f>
        <v>1.65</v>
      </c>
      <c r="P19" s="8"/>
      <c r="Q19" s="15"/>
      <c r="S19" s="11">
        <f t="shared" si="3"/>
        <v>4140</v>
      </c>
      <c r="T19" s="94">
        <f>'5 Year Plan'!$B$42/12*'Sales Projections_UandC'!Z19</f>
        <v>1.65</v>
      </c>
      <c r="U19" s="8"/>
      <c r="V19" s="15"/>
      <c r="X19" s="38">
        <f t="shared" si="4"/>
        <v>16063.5</v>
      </c>
      <c r="Z19" s="44">
        <v>1.8</v>
      </c>
      <c r="AD19" s="45"/>
      <c r="AF19" s="45"/>
      <c r="AI19" s="45"/>
      <c r="AK19" s="45"/>
    </row>
    <row r="20" spans="2:39" ht="16.5" x14ac:dyDescent="0.85">
      <c r="B20" s="7"/>
      <c r="C20" s="7" t="s">
        <v>1</v>
      </c>
      <c r="D20" s="11"/>
      <c r="E20" s="13"/>
      <c r="F20" s="8"/>
      <c r="G20" s="15"/>
      <c r="H20" s="13"/>
      <c r="I20" s="11"/>
      <c r="J20" s="94"/>
      <c r="K20" s="8"/>
      <c r="L20" s="15"/>
      <c r="M20" s="13"/>
      <c r="N20" s="11"/>
      <c r="O20" s="13"/>
      <c r="P20" s="8"/>
      <c r="Q20" s="15"/>
      <c r="S20" s="11"/>
      <c r="T20" s="13"/>
      <c r="U20" s="8"/>
      <c r="V20" s="15"/>
      <c r="X20" s="39">
        <f>SUM(X8:X19)</f>
        <v>107090.00000000001</v>
      </c>
      <c r="AB20" s="1" t="s">
        <v>58</v>
      </c>
      <c r="AC20" s="22">
        <f>D38</f>
        <v>0</v>
      </c>
      <c r="AD20" s="45">
        <f>SUM(E38:E40)</f>
        <v>0</v>
      </c>
      <c r="AE20" s="22">
        <f>F38</f>
        <v>770</v>
      </c>
      <c r="AF20" s="45">
        <f>ROUND(SUM(G38:G40),0)</f>
        <v>10</v>
      </c>
      <c r="AH20" s="22">
        <f>I38</f>
        <v>0</v>
      </c>
      <c r="AI20" s="45">
        <f>SUM(J38:J40)</f>
        <v>0</v>
      </c>
      <c r="AJ20" s="22">
        <f>K38</f>
        <v>2450</v>
      </c>
      <c r="AK20" s="145">
        <f>ROUND(SUM(L38:L40),0)</f>
        <v>4</v>
      </c>
    </row>
    <row r="21" spans="2:39" ht="13.15" x14ac:dyDescent="0.4">
      <c r="B21" s="7"/>
      <c r="C21" s="41"/>
      <c r="D21" s="10"/>
      <c r="E21" s="10"/>
      <c r="F21" s="2"/>
      <c r="G21" s="2"/>
      <c r="H21" s="2"/>
      <c r="I21" s="10"/>
      <c r="J21" s="10"/>
      <c r="K21" s="2"/>
      <c r="L21" s="2"/>
      <c r="M21" s="2"/>
      <c r="N21" s="10"/>
      <c r="O21" s="10"/>
      <c r="P21" s="2"/>
      <c r="Q21" s="2"/>
      <c r="R21" s="2"/>
      <c r="S21" s="10"/>
      <c r="T21" s="10"/>
      <c r="U21" s="2"/>
      <c r="V21" s="2"/>
      <c r="W21" s="2"/>
      <c r="X21" s="4"/>
      <c r="AB21" s="1" t="s">
        <v>59</v>
      </c>
      <c r="AC21" s="22">
        <f>D41</f>
        <v>0</v>
      </c>
      <c r="AD21" s="45">
        <f>SUM(E41:E43)</f>
        <v>0</v>
      </c>
      <c r="AE21" s="22">
        <f>F41</f>
        <v>770</v>
      </c>
      <c r="AF21" s="45">
        <f>ROUND(SUM(G41:G43),0)</f>
        <v>11</v>
      </c>
      <c r="AH21" s="22">
        <f>I41</f>
        <v>0</v>
      </c>
      <c r="AI21" s="45">
        <f>SUM(J41:J43)</f>
        <v>0</v>
      </c>
      <c r="AJ21" s="22">
        <f>K41</f>
        <v>2450</v>
      </c>
      <c r="AK21" s="145">
        <f>ROUND(SUM(L41:L43),0)</f>
        <v>4</v>
      </c>
    </row>
    <row r="22" spans="2:39" ht="13.15" x14ac:dyDescent="0.4">
      <c r="B22" s="7"/>
      <c r="C22" s="7"/>
      <c r="D22" s="16"/>
      <c r="E22" s="2"/>
      <c r="F22" s="35" t="s">
        <v>28</v>
      </c>
      <c r="G22" s="12"/>
      <c r="H22" s="2"/>
      <c r="I22" s="16"/>
      <c r="J22" s="2"/>
      <c r="K22" s="35" t="s">
        <v>28</v>
      </c>
      <c r="L22" s="12"/>
      <c r="M22" s="2"/>
      <c r="N22" s="16"/>
      <c r="O22" s="2"/>
      <c r="P22" s="35" t="s">
        <v>28</v>
      </c>
      <c r="Q22" s="12"/>
      <c r="S22" s="16"/>
      <c r="T22" s="2"/>
      <c r="U22" s="35" t="s">
        <v>28</v>
      </c>
      <c r="V22" s="12"/>
      <c r="X22" s="36"/>
      <c r="AA22" s="1">
        <v>2009</v>
      </c>
      <c r="AB22" s="1" t="s">
        <v>60</v>
      </c>
      <c r="AC22" s="22">
        <f>D44</f>
        <v>0</v>
      </c>
      <c r="AD22" s="45">
        <f>SUM(E44:E46)</f>
        <v>0</v>
      </c>
      <c r="AE22" s="22">
        <f>F44</f>
        <v>770</v>
      </c>
      <c r="AF22" s="45">
        <f>ROUND(SUM(G44:G46),0)</f>
        <v>11</v>
      </c>
      <c r="AH22" s="22">
        <f>I44</f>
        <v>0</v>
      </c>
      <c r="AI22" s="45">
        <f>SUM(J44:J46)</f>
        <v>0</v>
      </c>
      <c r="AJ22" s="22">
        <f>K44</f>
        <v>2450</v>
      </c>
      <c r="AK22" s="145">
        <f>ROUND(SUM(L44:L46),0)</f>
        <v>4</v>
      </c>
    </row>
    <row r="23" spans="2:39" ht="13.15" x14ac:dyDescent="0.4">
      <c r="B23" s="7">
        <v>2007</v>
      </c>
      <c r="C23" s="7" t="s">
        <v>19</v>
      </c>
      <c r="D23" s="11"/>
      <c r="E23" s="13"/>
      <c r="F23" s="8">
        <f>'5 Year Plan'!C143</f>
        <v>740</v>
      </c>
      <c r="G23" s="146">
        <f>'5 Year Plan'!$C$33/12*'Sales Projections_UandC'!Z23</f>
        <v>3</v>
      </c>
      <c r="H23" s="13"/>
      <c r="I23" s="11"/>
      <c r="J23" s="13"/>
      <c r="K23" s="8">
        <f>'5 Year Plan'!C144</f>
        <v>2360</v>
      </c>
      <c r="L23" s="146">
        <f>'5 Year Plan'!$C$36/12*'Sales Projections_UandC'!Z23</f>
        <v>1.05</v>
      </c>
      <c r="M23" s="13"/>
      <c r="N23" s="11"/>
      <c r="O23" s="13"/>
      <c r="P23" s="8">
        <f>'5 Year Plan'!C145</f>
        <v>3600</v>
      </c>
      <c r="Q23" s="146">
        <f>'5 Year Plan'!$C$39/12*'Sales Projections_UandC'!Z23</f>
        <v>1.575</v>
      </c>
      <c r="S23" s="11"/>
      <c r="T23" s="13"/>
      <c r="U23" s="8">
        <f>'5 Year Plan'!C146</f>
        <v>5180</v>
      </c>
      <c r="V23" s="146">
        <f>'5 Year Plan'!$C$42/12*'Sales Projections_UandC'!Z23</f>
        <v>1.7250000000000001</v>
      </c>
      <c r="X23" s="37">
        <f>D23*E23+F23*G23+I23*J23+K23*L23+N23*O23+P23*Q23+S23*T23+U23*V23</f>
        <v>19303.5</v>
      </c>
      <c r="Z23" s="44">
        <v>1</v>
      </c>
      <c r="AB23" s="1" t="s">
        <v>61</v>
      </c>
      <c r="AC23" s="22">
        <f>D47</f>
        <v>0</v>
      </c>
      <c r="AD23" s="45">
        <f>SUM(E47:E49)</f>
        <v>0</v>
      </c>
      <c r="AE23" s="22">
        <f>F47</f>
        <v>770</v>
      </c>
      <c r="AF23" s="145">
        <f>'5 Year Plan'!D33-SUM(AF20:AF22)</f>
        <v>11</v>
      </c>
      <c r="AH23" s="22">
        <f>I47</f>
        <v>0</v>
      </c>
      <c r="AI23" s="45">
        <f>SUM(J47:J49)</f>
        <v>0</v>
      </c>
      <c r="AJ23" s="22">
        <f>K47</f>
        <v>2450</v>
      </c>
      <c r="AK23" s="145">
        <f>'5 Year Plan'!D36-SUM(AK20:AK22)</f>
        <v>4</v>
      </c>
    </row>
    <row r="24" spans="2:39" ht="13.15" x14ac:dyDescent="0.4">
      <c r="B24" s="7"/>
      <c r="C24" s="7" t="s">
        <v>18</v>
      </c>
      <c r="D24" s="11"/>
      <c r="E24" s="13"/>
      <c r="F24" s="8">
        <f t="shared" ref="F24:F34" si="5">F23</f>
        <v>740</v>
      </c>
      <c r="G24" s="146">
        <f>'5 Year Plan'!$C$33/12*'Sales Projections_UandC'!Z24</f>
        <v>3</v>
      </c>
      <c r="H24" s="13"/>
      <c r="I24" s="11"/>
      <c r="J24" s="13"/>
      <c r="K24" s="8">
        <f t="shared" ref="K24:K34" si="6">K23</f>
        <v>2360</v>
      </c>
      <c r="L24" s="146">
        <f>'5 Year Plan'!$C$36/12*'Sales Projections_UandC'!Z24</f>
        <v>1.05</v>
      </c>
      <c r="M24" s="13"/>
      <c r="N24" s="11"/>
      <c r="O24" s="13"/>
      <c r="P24" s="8">
        <f t="shared" ref="P24:P34" si="7">P23</f>
        <v>3600</v>
      </c>
      <c r="Q24" s="146">
        <f>'5 Year Plan'!$C$39/12*'Sales Projections_UandC'!Z24</f>
        <v>1.575</v>
      </c>
      <c r="S24" s="11"/>
      <c r="T24" s="13"/>
      <c r="U24" s="8">
        <f t="shared" ref="U24:U34" si="8">U23</f>
        <v>5180</v>
      </c>
      <c r="V24" s="146">
        <f>'5 Year Plan'!$C$42/12*'Sales Projections_UandC'!Z24</f>
        <v>1.7250000000000001</v>
      </c>
      <c r="X24" s="37">
        <f t="shared" ref="X24:X34" si="9">D24*E24+F24*G24+I24*J24+K24*L24+N24*O24+P24*Q24+S24*T24+U24*V24</f>
        <v>19303.5</v>
      </c>
      <c r="Z24" s="44">
        <v>1</v>
      </c>
      <c r="AB24" s="1" t="s">
        <v>1</v>
      </c>
    </row>
    <row r="25" spans="2:39" x14ac:dyDescent="0.35">
      <c r="B25" s="7"/>
      <c r="C25" s="7" t="s">
        <v>17</v>
      </c>
      <c r="D25" s="11"/>
      <c r="E25" s="13"/>
      <c r="F25" s="8">
        <f t="shared" si="5"/>
        <v>740</v>
      </c>
      <c r="G25" s="146">
        <f>'5 Year Plan'!$C$33/12*'Sales Projections_UandC'!Z25</f>
        <v>3</v>
      </c>
      <c r="H25" s="13"/>
      <c r="I25" s="11"/>
      <c r="J25" s="13"/>
      <c r="K25" s="8">
        <f t="shared" si="6"/>
        <v>2360</v>
      </c>
      <c r="L25" s="146">
        <f>'5 Year Plan'!$C$36/12*'Sales Projections_UandC'!Z25</f>
        <v>1.05</v>
      </c>
      <c r="M25" s="13"/>
      <c r="N25" s="11"/>
      <c r="O25" s="13"/>
      <c r="P25" s="8">
        <f t="shared" si="7"/>
        <v>3600</v>
      </c>
      <c r="Q25" s="146">
        <f>'5 Year Plan'!$C$39/12*'Sales Projections_UandC'!Z25</f>
        <v>1.575</v>
      </c>
      <c r="S25" s="11"/>
      <c r="T25" s="13"/>
      <c r="U25" s="8">
        <f t="shared" si="8"/>
        <v>5180</v>
      </c>
      <c r="V25" s="146">
        <f>'5 Year Plan'!$C$42/12*'Sales Projections_UandC'!Z25</f>
        <v>1.7250000000000001</v>
      </c>
      <c r="X25" s="37">
        <f t="shared" si="9"/>
        <v>19303.5</v>
      </c>
      <c r="Z25" s="44">
        <v>1</v>
      </c>
    </row>
    <row r="26" spans="2:39" x14ac:dyDescent="0.35">
      <c r="B26" s="7"/>
      <c r="C26" s="7" t="s">
        <v>16</v>
      </c>
      <c r="D26" s="11"/>
      <c r="E26" s="13"/>
      <c r="F26" s="8">
        <f t="shared" si="5"/>
        <v>740</v>
      </c>
      <c r="G26" s="146">
        <f>'5 Year Plan'!$C$33/12*'Sales Projections_UandC'!Z26</f>
        <v>3.3333333333333335</v>
      </c>
      <c r="H26" s="13"/>
      <c r="I26" s="11"/>
      <c r="J26" s="13"/>
      <c r="K26" s="8">
        <f t="shared" si="6"/>
        <v>2360</v>
      </c>
      <c r="L26" s="146">
        <f>'5 Year Plan'!$C$36/12*'Sales Projections_UandC'!Z26</f>
        <v>1.1666666666666667</v>
      </c>
      <c r="M26" s="13"/>
      <c r="N26" s="11"/>
      <c r="O26" s="13"/>
      <c r="P26" s="8">
        <f t="shared" si="7"/>
        <v>3600</v>
      </c>
      <c r="Q26" s="146">
        <f>'5 Year Plan'!$C$39/12*'Sales Projections_UandC'!Z26</f>
        <v>1.75</v>
      </c>
      <c r="S26" s="11"/>
      <c r="T26" s="13"/>
      <c r="U26" s="8">
        <f t="shared" si="8"/>
        <v>5180</v>
      </c>
      <c r="V26" s="146">
        <f>'5 Year Plan'!$C$42/12*'Sales Projections_UandC'!Z26</f>
        <v>1.9166666666666667</v>
      </c>
      <c r="X26" s="37">
        <f t="shared" si="9"/>
        <v>21448.333333333336</v>
      </c>
      <c r="Z26" s="44">
        <v>1</v>
      </c>
    </row>
    <row r="27" spans="2:39" ht="13.5" thickBot="1" x14ac:dyDescent="0.45">
      <c r="B27" s="7"/>
      <c r="C27" s="7" t="s">
        <v>15</v>
      </c>
      <c r="D27" s="11"/>
      <c r="E27" s="13"/>
      <c r="F27" s="8">
        <f t="shared" si="5"/>
        <v>740</v>
      </c>
      <c r="G27" s="146">
        <f>'5 Year Plan'!$C$33/12*'Sales Projections_UandC'!Z27</f>
        <v>3.3333333333333335</v>
      </c>
      <c r="H27" s="13"/>
      <c r="I27" s="11"/>
      <c r="J27" s="13"/>
      <c r="K27" s="8">
        <f t="shared" si="6"/>
        <v>2360</v>
      </c>
      <c r="L27" s="146">
        <f>'5 Year Plan'!$C$36/12*'Sales Projections_UandC'!Z27</f>
        <v>1.1666666666666667</v>
      </c>
      <c r="M27" s="13"/>
      <c r="N27" s="11"/>
      <c r="O27" s="13"/>
      <c r="P27" s="8">
        <f t="shared" si="7"/>
        <v>3600</v>
      </c>
      <c r="Q27" s="146">
        <f>'5 Year Plan'!$C$39/12*'Sales Projections_UandC'!Z27</f>
        <v>1.75</v>
      </c>
      <c r="S27" s="11"/>
      <c r="T27" s="13"/>
      <c r="U27" s="8">
        <f t="shared" si="8"/>
        <v>5180</v>
      </c>
      <c r="V27" s="146">
        <f>'5 Year Plan'!$C$42/12*'Sales Projections_UandC'!Z27</f>
        <v>1.9166666666666667</v>
      </c>
      <c r="X27" s="37">
        <f t="shared" si="9"/>
        <v>21448.333333333336</v>
      </c>
      <c r="Z27" s="44">
        <v>1</v>
      </c>
      <c r="AA27" s="21"/>
      <c r="AB27" s="21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</row>
    <row r="28" spans="2:39" x14ac:dyDescent="0.35">
      <c r="B28" s="7"/>
      <c r="C28" s="7" t="s">
        <v>14</v>
      </c>
      <c r="D28" s="11"/>
      <c r="E28" s="13"/>
      <c r="F28" s="8">
        <f t="shared" si="5"/>
        <v>740</v>
      </c>
      <c r="G28" s="146">
        <f>'5 Year Plan'!$C$33/12*'Sales Projections_UandC'!Z28</f>
        <v>3.3333333333333335</v>
      </c>
      <c r="H28" s="13"/>
      <c r="I28" s="11"/>
      <c r="J28" s="13"/>
      <c r="K28" s="8">
        <f t="shared" si="6"/>
        <v>2360</v>
      </c>
      <c r="L28" s="146">
        <f>'5 Year Plan'!$C$36/12*'Sales Projections_UandC'!Z28</f>
        <v>1.1666666666666667</v>
      </c>
      <c r="M28" s="13"/>
      <c r="N28" s="11"/>
      <c r="O28" s="13"/>
      <c r="P28" s="8">
        <f t="shared" si="7"/>
        <v>3600</v>
      </c>
      <c r="Q28" s="146">
        <f>'5 Year Plan'!$C$39/12*'Sales Projections_UandC'!Z28</f>
        <v>1.75</v>
      </c>
      <c r="S28" s="11"/>
      <c r="T28" s="13"/>
      <c r="U28" s="8">
        <f t="shared" si="8"/>
        <v>5180</v>
      </c>
      <c r="V28" s="146">
        <f>'5 Year Plan'!$C$42/12*'Sales Projections_UandC'!Z28</f>
        <v>1.9166666666666667</v>
      </c>
      <c r="X28" s="37">
        <f t="shared" si="9"/>
        <v>21448.333333333336</v>
      </c>
      <c r="Z28" s="44">
        <v>1</v>
      </c>
      <c r="AA28" s="208" t="s">
        <v>154</v>
      </c>
      <c r="AB28" s="209"/>
      <c r="AC28" s="209"/>
      <c r="AD28" s="209"/>
      <c r="AE28" s="209"/>
      <c r="AF28" s="209"/>
      <c r="AG28" s="209"/>
      <c r="AH28" s="209"/>
      <c r="AI28" s="209"/>
      <c r="AJ28" s="209"/>
      <c r="AK28" s="209"/>
      <c r="AL28" s="209"/>
      <c r="AM28" s="209"/>
    </row>
    <row r="29" spans="2:39" x14ac:dyDescent="0.35">
      <c r="B29" s="7"/>
      <c r="C29" s="7" t="s">
        <v>13</v>
      </c>
      <c r="D29" s="11"/>
      <c r="E29" s="13"/>
      <c r="F29" s="8">
        <f t="shared" si="5"/>
        <v>740</v>
      </c>
      <c r="G29" s="146">
        <f>'5 Year Plan'!$C$33/12*'Sales Projections_UandC'!Z29</f>
        <v>3.3333333333333335</v>
      </c>
      <c r="H29" s="13"/>
      <c r="I29" s="11"/>
      <c r="J29" s="13"/>
      <c r="K29" s="8">
        <f t="shared" si="6"/>
        <v>2360</v>
      </c>
      <c r="L29" s="146">
        <f>'5 Year Plan'!$C$36/12*'Sales Projections_UandC'!Z29</f>
        <v>1.1666666666666667</v>
      </c>
      <c r="M29" s="13"/>
      <c r="N29" s="11"/>
      <c r="O29" s="13"/>
      <c r="P29" s="8">
        <f t="shared" si="7"/>
        <v>3600</v>
      </c>
      <c r="Q29" s="146">
        <f>'5 Year Plan'!$C$39/12*'Sales Projections_UandC'!Z29</f>
        <v>1.75</v>
      </c>
      <c r="S29" s="11"/>
      <c r="T29" s="13"/>
      <c r="U29" s="8">
        <f t="shared" si="8"/>
        <v>5180</v>
      </c>
      <c r="V29" s="146">
        <f>'5 Year Plan'!$C$42/12*'Sales Projections_UandC'!Z29</f>
        <v>1.9166666666666667</v>
      </c>
      <c r="X29" s="37">
        <f t="shared" si="9"/>
        <v>21448.333333333336</v>
      </c>
      <c r="Z29" s="44">
        <v>1</v>
      </c>
      <c r="AC29" s="10" t="s">
        <v>8</v>
      </c>
      <c r="AD29" s="10" t="s">
        <v>24</v>
      </c>
      <c r="AE29" s="10" t="s">
        <v>8</v>
      </c>
      <c r="AF29" s="10" t="s">
        <v>24</v>
      </c>
      <c r="AG29" s="2"/>
      <c r="AH29" s="10" t="s">
        <v>9</v>
      </c>
      <c r="AI29" s="10" t="s">
        <v>24</v>
      </c>
      <c r="AJ29" s="10" t="s">
        <v>9</v>
      </c>
      <c r="AK29" s="10" t="s">
        <v>24</v>
      </c>
      <c r="AL29" s="2"/>
      <c r="AM29" s="17" t="s">
        <v>1</v>
      </c>
    </row>
    <row r="30" spans="2:39" x14ac:dyDescent="0.35">
      <c r="B30" s="7"/>
      <c r="C30" s="7" t="s">
        <v>21</v>
      </c>
      <c r="D30" s="11"/>
      <c r="E30" s="13"/>
      <c r="F30" s="8">
        <f t="shared" si="5"/>
        <v>740</v>
      </c>
      <c r="G30" s="146">
        <f>'5 Year Plan'!$C$33/12*'Sales Projections_UandC'!Z30</f>
        <v>3.3333333333333335</v>
      </c>
      <c r="H30" s="13"/>
      <c r="I30" s="11"/>
      <c r="J30" s="13"/>
      <c r="K30" s="8">
        <f t="shared" si="6"/>
        <v>2360</v>
      </c>
      <c r="L30" s="146">
        <f>'5 Year Plan'!$C$36/12*'Sales Projections_UandC'!Z30</f>
        <v>1.1666666666666667</v>
      </c>
      <c r="M30" s="13"/>
      <c r="N30" s="11"/>
      <c r="O30" s="13"/>
      <c r="P30" s="8">
        <f t="shared" si="7"/>
        <v>3600</v>
      </c>
      <c r="Q30" s="146">
        <f>'5 Year Plan'!$C$39/12*'Sales Projections_UandC'!Z30</f>
        <v>1.75</v>
      </c>
      <c r="S30" s="11"/>
      <c r="T30" s="13"/>
      <c r="U30" s="8">
        <f t="shared" si="8"/>
        <v>5180</v>
      </c>
      <c r="V30" s="146">
        <f>'5 Year Plan'!$C$42/12*'Sales Projections_UandC'!Z30</f>
        <v>1.9166666666666667</v>
      </c>
      <c r="X30" s="37">
        <f t="shared" si="9"/>
        <v>21448.333333333336</v>
      </c>
      <c r="Z30" s="44">
        <v>1</v>
      </c>
      <c r="AC30" s="32" t="s">
        <v>27</v>
      </c>
      <c r="AD30" s="10"/>
      <c r="AE30" s="32" t="s">
        <v>28</v>
      </c>
      <c r="AH30" s="32" t="s">
        <v>27</v>
      </c>
      <c r="AI30" s="10"/>
      <c r="AJ30" s="32" t="s">
        <v>28</v>
      </c>
    </row>
    <row r="31" spans="2:39" ht="13.15" x14ac:dyDescent="0.4">
      <c r="B31" s="7"/>
      <c r="C31" s="7" t="s">
        <v>22</v>
      </c>
      <c r="D31" s="11"/>
      <c r="E31" s="13"/>
      <c r="F31" s="8">
        <f t="shared" si="5"/>
        <v>740</v>
      </c>
      <c r="G31" s="146">
        <f>'5 Year Plan'!$C$33/12*'Sales Projections_UandC'!Z31</f>
        <v>3.3333333333333335</v>
      </c>
      <c r="H31" s="13"/>
      <c r="I31" s="11"/>
      <c r="J31" s="13"/>
      <c r="K31" s="8">
        <f t="shared" si="6"/>
        <v>2360</v>
      </c>
      <c r="L31" s="146">
        <f>'5 Year Plan'!$C$36/12*'Sales Projections_UandC'!Z31</f>
        <v>1.1666666666666667</v>
      </c>
      <c r="M31" s="13"/>
      <c r="N31" s="11"/>
      <c r="O31" s="13"/>
      <c r="P31" s="8">
        <f t="shared" si="7"/>
        <v>3600</v>
      </c>
      <c r="Q31" s="146">
        <f>'5 Year Plan'!$C$39/12*'Sales Projections_UandC'!Z31</f>
        <v>1.75</v>
      </c>
      <c r="S31" s="11"/>
      <c r="T31" s="13"/>
      <c r="U31" s="8">
        <f t="shared" si="8"/>
        <v>5180</v>
      </c>
      <c r="V31" s="146">
        <f>'5 Year Plan'!$C$42/12*'Sales Projections_UandC'!Z31</f>
        <v>1.9166666666666667</v>
      </c>
      <c r="X31" s="37">
        <f t="shared" si="9"/>
        <v>21448.333333333336</v>
      </c>
      <c r="Z31" s="44">
        <v>1</v>
      </c>
      <c r="AA31" s="7">
        <v>2006</v>
      </c>
      <c r="AB31" s="1" t="s">
        <v>58</v>
      </c>
      <c r="AC31" s="22">
        <f>N8</f>
        <v>2880</v>
      </c>
      <c r="AD31" s="145">
        <f>ROUND(SUM(O8:O10),0)</f>
        <v>1</v>
      </c>
      <c r="AE31" s="22">
        <f>P8</f>
        <v>0</v>
      </c>
      <c r="AF31" s="45">
        <f>SUM(Q8:Q10)</f>
        <v>0</v>
      </c>
      <c r="AH31" s="22">
        <f>S8</f>
        <v>4140</v>
      </c>
      <c r="AI31" s="145">
        <f>ROUND(SUM(T8:T10),0)</f>
        <v>1</v>
      </c>
      <c r="AJ31" s="22">
        <f>U8</f>
        <v>0</v>
      </c>
      <c r="AK31" s="45">
        <f>SUM(V8:V10)</f>
        <v>0</v>
      </c>
      <c r="AM31" s="4">
        <f>AC8*AD8+AE8*AF8+AH8*AI8+AJ8*AK8+AC31*AD31+AE31*AF31+AH31*AI31+AJ31*AK31</f>
        <v>10680</v>
      </c>
    </row>
    <row r="32" spans="2:39" ht="13.15" x14ac:dyDescent="0.4">
      <c r="B32" s="7"/>
      <c r="C32" s="7" t="s">
        <v>25</v>
      </c>
      <c r="D32" s="11"/>
      <c r="E32" s="13"/>
      <c r="F32" s="8">
        <f t="shared" si="5"/>
        <v>740</v>
      </c>
      <c r="G32" s="146">
        <f>'5 Year Plan'!$C$33/12*'Sales Projections_UandC'!Z32</f>
        <v>3.666666666666667</v>
      </c>
      <c r="H32" s="13"/>
      <c r="I32" s="11"/>
      <c r="J32" s="13"/>
      <c r="K32" s="8">
        <f t="shared" si="6"/>
        <v>2360</v>
      </c>
      <c r="L32" s="146">
        <f>'5 Year Plan'!$C$36/12*'Sales Projections_UandC'!Z32</f>
        <v>1.2833333333333334</v>
      </c>
      <c r="M32" s="13"/>
      <c r="N32" s="11"/>
      <c r="O32" s="13"/>
      <c r="P32" s="8">
        <f t="shared" si="7"/>
        <v>3600</v>
      </c>
      <c r="Q32" s="146">
        <f>'5 Year Plan'!$C$39/12*'Sales Projections_UandC'!Z32</f>
        <v>1.9250000000000003</v>
      </c>
      <c r="S32" s="11"/>
      <c r="T32" s="13"/>
      <c r="U32" s="8">
        <f t="shared" si="8"/>
        <v>5180</v>
      </c>
      <c r="V32" s="146">
        <f>'5 Year Plan'!$C$42/12*'Sales Projections_UandC'!Z32</f>
        <v>2.1083333333333334</v>
      </c>
      <c r="X32" s="37">
        <f t="shared" si="9"/>
        <v>23593.166666666668</v>
      </c>
      <c r="Z32" s="44">
        <v>1</v>
      </c>
      <c r="AB32" s="1" t="s">
        <v>59</v>
      </c>
      <c r="AC32" s="22">
        <f>N11</f>
        <v>2880</v>
      </c>
      <c r="AD32" s="145">
        <f>ROUND(SUM(O11:O13),0)</f>
        <v>3</v>
      </c>
      <c r="AE32" s="22">
        <f>P11</f>
        <v>0</v>
      </c>
      <c r="AF32" s="45">
        <f>SUM(Q11:Q13)</f>
        <v>0</v>
      </c>
      <c r="AH32" s="22">
        <f>S11</f>
        <v>4140</v>
      </c>
      <c r="AI32" s="145">
        <f>ROUND(SUM(T11:T13),0)</f>
        <v>3</v>
      </c>
      <c r="AJ32" s="22">
        <f>U11</f>
        <v>0</v>
      </c>
      <c r="AK32" s="45">
        <f>SUM(V11:V13)</f>
        <v>0</v>
      </c>
      <c r="AM32" s="4">
        <f>AC9*AD9+AE9*AF9+AH9*AI9+AJ9*AK9+AC32*AD32+AE32*AF32+AH32*AI32+AJ32*AK32</f>
        <v>28380</v>
      </c>
    </row>
    <row r="33" spans="2:59" ht="13.15" x14ac:dyDescent="0.4">
      <c r="B33" s="7"/>
      <c r="C33" s="7" t="s">
        <v>20</v>
      </c>
      <c r="D33" s="11"/>
      <c r="E33" s="13"/>
      <c r="F33" s="8">
        <f t="shared" si="5"/>
        <v>740</v>
      </c>
      <c r="G33" s="146">
        <f>'5 Year Plan'!$C$33/12*'Sales Projections_UandC'!Z33</f>
        <v>3.666666666666667</v>
      </c>
      <c r="H33" s="13"/>
      <c r="I33" s="11"/>
      <c r="J33" s="13"/>
      <c r="K33" s="8">
        <f t="shared" si="6"/>
        <v>2360</v>
      </c>
      <c r="L33" s="146">
        <f>'5 Year Plan'!$C$36/12*'Sales Projections_UandC'!Z33</f>
        <v>1.2833333333333334</v>
      </c>
      <c r="M33" s="13"/>
      <c r="N33" s="11"/>
      <c r="O33" s="13"/>
      <c r="P33" s="8">
        <f t="shared" si="7"/>
        <v>3600</v>
      </c>
      <c r="Q33" s="146">
        <f>'5 Year Plan'!$C$39/12*'Sales Projections_UandC'!Z33</f>
        <v>1.9250000000000003</v>
      </c>
      <c r="S33" s="11"/>
      <c r="T33" s="13"/>
      <c r="U33" s="8">
        <f t="shared" si="8"/>
        <v>5180</v>
      </c>
      <c r="V33" s="146">
        <f>'5 Year Plan'!$C$42/12*'Sales Projections_UandC'!Z33</f>
        <v>2.1083333333333334</v>
      </c>
      <c r="X33" s="37">
        <f t="shared" si="9"/>
        <v>23593.166666666668</v>
      </c>
      <c r="Z33" s="44">
        <v>1</v>
      </c>
      <c r="AA33" s="1">
        <v>2007</v>
      </c>
      <c r="AB33" s="1" t="s">
        <v>60</v>
      </c>
      <c r="AC33" s="22">
        <f>N14</f>
        <v>2880</v>
      </c>
      <c r="AD33" s="145">
        <f>ROUND(SUM(O14:O16),0)</f>
        <v>3</v>
      </c>
      <c r="AE33" s="22">
        <f>P14</f>
        <v>0</v>
      </c>
      <c r="AF33" s="45">
        <f>SUM(Q14:Q16)</f>
        <v>0</v>
      </c>
      <c r="AH33" s="22">
        <f>S14</f>
        <v>4140</v>
      </c>
      <c r="AI33" s="145">
        <f>ROUND(SUM(T14:T16),0)</f>
        <v>3</v>
      </c>
      <c r="AJ33" s="22">
        <f>U14</f>
        <v>0</v>
      </c>
      <c r="AK33" s="45">
        <f>SUM(V14:V16)</f>
        <v>0</v>
      </c>
      <c r="AM33" s="4">
        <f>AC10*AD10+AE10*AF10+AH10*AI10+AJ10*AK10+AC33*AD33+AE33*AF33+AH33*AI33+AJ33*AK33</f>
        <v>28970</v>
      </c>
    </row>
    <row r="34" spans="2:59" ht="13.15" x14ac:dyDescent="0.4">
      <c r="B34" s="6"/>
      <c r="C34" s="7" t="s">
        <v>12</v>
      </c>
      <c r="D34" s="11"/>
      <c r="E34" s="13"/>
      <c r="F34" s="8">
        <f t="shared" si="5"/>
        <v>740</v>
      </c>
      <c r="G34" s="146">
        <f>'5 Year Plan'!$C$33/12*'Sales Projections_UandC'!Z34</f>
        <v>3.666666666666667</v>
      </c>
      <c r="H34" s="13"/>
      <c r="I34" s="11"/>
      <c r="J34" s="13"/>
      <c r="K34" s="8">
        <f t="shared" si="6"/>
        <v>2360</v>
      </c>
      <c r="L34" s="146">
        <f>'5 Year Plan'!$C$36/12*'Sales Projections_UandC'!Z34</f>
        <v>1.2833333333333334</v>
      </c>
      <c r="M34" s="13"/>
      <c r="N34" s="11"/>
      <c r="O34" s="13"/>
      <c r="P34" s="8">
        <f t="shared" si="7"/>
        <v>3600</v>
      </c>
      <c r="Q34" s="146">
        <f>'5 Year Plan'!$C$39/12*'Sales Projections_UandC'!Z34</f>
        <v>1.9250000000000003</v>
      </c>
      <c r="S34" s="11"/>
      <c r="T34" s="13"/>
      <c r="U34" s="8">
        <f t="shared" si="8"/>
        <v>5180</v>
      </c>
      <c r="V34" s="146">
        <f>'5 Year Plan'!$C$42/12*'Sales Projections_UandC'!Z34</f>
        <v>2.1083333333333334</v>
      </c>
      <c r="X34" s="38">
        <f t="shared" si="9"/>
        <v>23593.166666666668</v>
      </c>
      <c r="Z34" s="44">
        <v>1</v>
      </c>
      <c r="AA34" s="1"/>
      <c r="AB34" s="1" t="s">
        <v>61</v>
      </c>
      <c r="AC34" s="22">
        <f>N17</f>
        <v>2880</v>
      </c>
      <c r="AD34" s="145">
        <f>'5 Year Plan'!B39-SUM(AD31:AD33)</f>
        <v>4</v>
      </c>
      <c r="AE34" s="22">
        <f>P17</f>
        <v>0</v>
      </c>
      <c r="AF34" s="45">
        <f>SUM(Q17:Q19)</f>
        <v>0</v>
      </c>
      <c r="AH34" s="22">
        <f>S17</f>
        <v>4140</v>
      </c>
      <c r="AI34" s="145">
        <f>'5 Year Plan'!B42-SUM(AI31:AI33)</f>
        <v>4</v>
      </c>
      <c r="AJ34" s="22">
        <f>U17</f>
        <v>0</v>
      </c>
      <c r="AK34" s="45">
        <f>SUM(V17:V19)</f>
        <v>0</v>
      </c>
      <c r="AM34" s="4">
        <f>AC11*AD11+AE11*AF11+AH11*AI11+AJ11*AK11+AC34*AD34+AE34*AF34+AH34*AI34+AJ34*AK34</f>
        <v>39060</v>
      </c>
      <c r="AR34" s="9"/>
      <c r="AW34" s="9"/>
      <c r="BB34" s="9"/>
      <c r="BE34" s="6"/>
    </row>
    <row r="35" spans="2:59" ht="16.5" x14ac:dyDescent="0.85">
      <c r="B35" s="6"/>
      <c r="C35" s="7" t="s">
        <v>1</v>
      </c>
      <c r="D35" s="11"/>
      <c r="E35" s="13"/>
      <c r="F35" s="8"/>
      <c r="G35" s="15"/>
      <c r="H35" s="13"/>
      <c r="I35" s="11"/>
      <c r="J35" s="13"/>
      <c r="K35" s="8"/>
      <c r="L35" s="15"/>
      <c r="M35" s="13"/>
      <c r="N35" s="11"/>
      <c r="O35" s="13"/>
      <c r="P35" s="8"/>
      <c r="Q35" s="146"/>
      <c r="S35" s="11"/>
      <c r="T35" s="13"/>
      <c r="U35" s="8"/>
      <c r="V35" s="15"/>
      <c r="X35" s="40">
        <f>SUM(X23:X34)</f>
        <v>257380.00000000003</v>
      </c>
      <c r="AB35" s="1" t="s">
        <v>1</v>
      </c>
      <c r="AD35" s="45"/>
      <c r="AF35" s="45"/>
      <c r="AI35" s="45"/>
      <c r="AK35" s="45"/>
      <c r="AM35" s="33">
        <f>SUM(AM31:AM34)</f>
        <v>107090</v>
      </c>
      <c r="BG35" s="44"/>
    </row>
    <row r="36" spans="2:59" ht="16.5" x14ac:dyDescent="0.85">
      <c r="B36" s="6"/>
      <c r="C36" s="7"/>
      <c r="D36" s="8"/>
      <c r="E36" s="13"/>
      <c r="F36" s="8"/>
      <c r="G36" s="13"/>
      <c r="H36" s="13"/>
      <c r="I36" s="8"/>
      <c r="J36" s="13"/>
      <c r="K36" s="8"/>
      <c r="L36" s="13"/>
      <c r="M36" s="13"/>
      <c r="N36" s="8"/>
      <c r="O36" s="13"/>
      <c r="P36" s="8"/>
      <c r="Q36" s="13"/>
      <c r="S36" s="8"/>
      <c r="T36" s="13"/>
      <c r="U36" s="8"/>
      <c r="V36" s="13"/>
      <c r="X36" s="33"/>
      <c r="AD36" s="45"/>
      <c r="AF36" s="45"/>
      <c r="AI36" s="45"/>
      <c r="AK36" s="45"/>
    </row>
    <row r="37" spans="2:59" ht="13.15" x14ac:dyDescent="0.4">
      <c r="B37" s="7"/>
      <c r="C37" s="7"/>
      <c r="D37" s="16"/>
      <c r="E37" s="2"/>
      <c r="F37" s="35" t="s">
        <v>28</v>
      </c>
      <c r="G37" s="12"/>
      <c r="H37" s="2"/>
      <c r="I37" s="16"/>
      <c r="J37" s="2"/>
      <c r="K37" s="35" t="s">
        <v>28</v>
      </c>
      <c r="L37" s="12"/>
      <c r="M37" s="2"/>
      <c r="N37" s="16"/>
      <c r="O37" s="2"/>
      <c r="P37" s="35" t="s">
        <v>28</v>
      </c>
      <c r="Q37" s="12"/>
      <c r="S37" s="16"/>
      <c r="T37" s="2"/>
      <c r="U37" s="35" t="s">
        <v>28</v>
      </c>
      <c r="V37" s="12"/>
      <c r="X37" s="36"/>
      <c r="AB37" s="1" t="s">
        <v>58</v>
      </c>
      <c r="AC37" s="22">
        <f>N23</f>
        <v>0</v>
      </c>
      <c r="AD37" s="45">
        <f>SUM(O23:O25)</f>
        <v>0</v>
      </c>
      <c r="AE37" s="22">
        <f>P23</f>
        <v>3600</v>
      </c>
      <c r="AF37" s="145">
        <f>ROUND(SUM(Q23:Q25),0)</f>
        <v>5</v>
      </c>
      <c r="AH37" s="22">
        <f>S23</f>
        <v>0</v>
      </c>
      <c r="AI37" s="45">
        <f>SUM(T23:T25)</f>
        <v>0</v>
      </c>
      <c r="AJ37" s="22">
        <f>U23</f>
        <v>5180</v>
      </c>
      <c r="AK37" s="145">
        <f>ROUND(SUM(V23:V25),0)</f>
        <v>5</v>
      </c>
      <c r="AM37" s="4">
        <f>AC14*AD14+AE14*AF14+AH14*AI14+AJ14*AK14+AC37*AD37+AE37*AF37+AH37*AI37+AJ37*AK37</f>
        <v>57640</v>
      </c>
      <c r="AR37" s="9"/>
      <c r="AW37" s="9"/>
      <c r="BB37" s="9"/>
    </row>
    <row r="38" spans="2:59" ht="13.15" x14ac:dyDescent="0.4">
      <c r="B38" s="7">
        <v>2008</v>
      </c>
      <c r="C38" s="7" t="s">
        <v>19</v>
      </c>
      <c r="D38" s="11"/>
      <c r="E38" s="13"/>
      <c r="F38" s="8">
        <f>'5 Year Plan'!D143</f>
        <v>770</v>
      </c>
      <c r="G38" s="146">
        <f>'5 Year Plan'!$D$33/12*'Sales Projections_UandC'!Z38</f>
        <v>3.2250000000000001</v>
      </c>
      <c r="H38" s="13"/>
      <c r="I38" s="11"/>
      <c r="J38" s="13"/>
      <c r="K38" s="8">
        <f>'5 Year Plan'!D144</f>
        <v>2450</v>
      </c>
      <c r="L38" s="146">
        <f>'5 Year Plan'!$D$36/12*'Sales Projections_UandC'!Z38</f>
        <v>1.2</v>
      </c>
      <c r="M38" s="13"/>
      <c r="N38" s="11"/>
      <c r="O38" s="13"/>
      <c r="P38" s="8">
        <f>'5 Year Plan'!D145</f>
        <v>3740</v>
      </c>
      <c r="Q38" s="146">
        <f>'5 Year Plan'!$D$39/12*'Sales Projections_UandC'!Z38</f>
        <v>2.1</v>
      </c>
      <c r="S38" s="11"/>
      <c r="T38" s="13"/>
      <c r="U38" s="8">
        <f>'5 Year Plan'!D146</f>
        <v>5390</v>
      </c>
      <c r="V38" s="146">
        <f>'5 Year Plan'!$D$42/12*'Sales Projections_UandC'!Z38</f>
        <v>2.4</v>
      </c>
      <c r="X38" s="37">
        <f t="shared" ref="X38:X48" si="10">D38*E38+F38*G38+I38*J38+K38*L38+N38*O38+P38*Q38+S38*T38+U38*V38</f>
        <v>26213.25</v>
      </c>
      <c r="Z38" s="44">
        <v>1</v>
      </c>
      <c r="AB38" s="1" t="s">
        <v>59</v>
      </c>
      <c r="AC38" s="22">
        <f>N26</f>
        <v>0</v>
      </c>
      <c r="AD38" s="45">
        <f>SUM(O26:O28)</f>
        <v>0</v>
      </c>
      <c r="AE38" s="22">
        <f>P26</f>
        <v>3600</v>
      </c>
      <c r="AF38" s="145">
        <f>ROUND(SUM(Q26:Q28),0)</f>
        <v>5</v>
      </c>
      <c r="AH38" s="22">
        <f>S26</f>
        <v>0</v>
      </c>
      <c r="AI38" s="45">
        <f>SUM(T26:T28)</f>
        <v>0</v>
      </c>
      <c r="AJ38" s="22">
        <f>U26</f>
        <v>5180</v>
      </c>
      <c r="AK38" s="145">
        <f>ROUND(SUM(V26:V28),0)</f>
        <v>6</v>
      </c>
      <c r="AM38" s="4">
        <f>AC15*AD15+AE15*AF15+AH15*AI15+AJ15*AK15+AC38*AD38+AE38*AF38+AH38*AI38+AJ38*AK38</f>
        <v>65920</v>
      </c>
    </row>
    <row r="39" spans="2:59" ht="13.15" x14ac:dyDescent="0.4">
      <c r="B39" s="7"/>
      <c r="C39" s="7" t="s">
        <v>18</v>
      </c>
      <c r="D39" s="11"/>
      <c r="E39" s="13"/>
      <c r="F39" s="8">
        <f>F38</f>
        <v>770</v>
      </c>
      <c r="G39" s="146">
        <f>'5 Year Plan'!$D$33/12*'Sales Projections_UandC'!Z39</f>
        <v>3.2250000000000001</v>
      </c>
      <c r="H39" s="13"/>
      <c r="I39" s="11"/>
      <c r="J39" s="13"/>
      <c r="K39" s="8">
        <f>K38</f>
        <v>2450</v>
      </c>
      <c r="L39" s="146">
        <f>'5 Year Plan'!$D$36/12*'Sales Projections_UandC'!Z39</f>
        <v>1.2</v>
      </c>
      <c r="M39" s="13"/>
      <c r="N39" s="11"/>
      <c r="O39" s="13"/>
      <c r="P39" s="8">
        <f t="shared" ref="P39:P49" si="11">P38</f>
        <v>3740</v>
      </c>
      <c r="Q39" s="146">
        <f>'5 Year Plan'!$D$39/12*'Sales Projections_UandC'!Z39</f>
        <v>2.1</v>
      </c>
      <c r="S39" s="11"/>
      <c r="T39" s="13"/>
      <c r="U39" s="8">
        <f t="shared" ref="U39:U49" si="12">U38</f>
        <v>5390</v>
      </c>
      <c r="V39" s="146">
        <f>'5 Year Plan'!$D$42/12*'Sales Projections_UandC'!Z39</f>
        <v>2.4</v>
      </c>
      <c r="X39" s="37">
        <f t="shared" si="10"/>
        <v>26213.25</v>
      </c>
      <c r="Z39" s="44">
        <v>1</v>
      </c>
      <c r="AA39" s="1">
        <v>2008</v>
      </c>
      <c r="AB39" s="1" t="s">
        <v>60</v>
      </c>
      <c r="AC39" s="22">
        <f>N29</f>
        <v>0</v>
      </c>
      <c r="AD39" s="45">
        <f>SUM(O29:O31)</f>
        <v>0</v>
      </c>
      <c r="AE39" s="22">
        <f>P29</f>
        <v>3600</v>
      </c>
      <c r="AF39" s="145">
        <f>ROUND(SUM(Q29:Q31),0)</f>
        <v>5</v>
      </c>
      <c r="AH39" s="22">
        <f>S29</f>
        <v>0</v>
      </c>
      <c r="AI39" s="45">
        <f>SUM(T29:T31)</f>
        <v>0</v>
      </c>
      <c r="AJ39" s="22">
        <f>U29</f>
        <v>5180</v>
      </c>
      <c r="AK39" s="145">
        <f>ROUND(SUM(V29:V31),0)</f>
        <v>6</v>
      </c>
      <c r="AM39" s="4">
        <f>AC16*AD16+AE16*AF16+AH16*AI16+AJ16*AK16+AC39*AD39+AE39*AF39+AH39*AI39+AJ39*AK39</f>
        <v>65920</v>
      </c>
    </row>
    <row r="40" spans="2:59" ht="13.15" x14ac:dyDescent="0.4">
      <c r="B40" s="7"/>
      <c r="C40" s="7" t="s">
        <v>17</v>
      </c>
      <c r="D40" s="11"/>
      <c r="E40" s="13"/>
      <c r="F40" s="8">
        <f t="shared" ref="F40:F49" si="13">F39</f>
        <v>770</v>
      </c>
      <c r="G40" s="146">
        <f>'5 Year Plan'!$D$33/12*'Sales Projections_UandC'!Z40</f>
        <v>3.2250000000000001</v>
      </c>
      <c r="H40" s="13"/>
      <c r="I40" s="11"/>
      <c r="J40" s="13"/>
      <c r="K40" s="8">
        <f t="shared" ref="K40:K49" si="14">K39</f>
        <v>2450</v>
      </c>
      <c r="L40" s="146">
        <f>'5 Year Plan'!$D$36/12*'Sales Projections_UandC'!Z40</f>
        <v>1.2</v>
      </c>
      <c r="M40" s="13"/>
      <c r="N40" s="11"/>
      <c r="O40" s="13"/>
      <c r="P40" s="8">
        <f t="shared" si="11"/>
        <v>3740</v>
      </c>
      <c r="Q40" s="146">
        <f>'5 Year Plan'!$D$39/12*'Sales Projections_UandC'!Z40</f>
        <v>2.1</v>
      </c>
      <c r="S40" s="11"/>
      <c r="T40" s="13"/>
      <c r="U40" s="8">
        <f t="shared" si="12"/>
        <v>5390</v>
      </c>
      <c r="V40" s="146">
        <f>'5 Year Plan'!$D$42/12*'Sales Projections_UandC'!Z40</f>
        <v>2.4</v>
      </c>
      <c r="X40" s="37">
        <f t="shared" si="10"/>
        <v>26213.25</v>
      </c>
      <c r="Z40" s="44">
        <v>1</v>
      </c>
      <c r="AB40" s="1" t="s">
        <v>61</v>
      </c>
      <c r="AC40" s="22">
        <f>N32</f>
        <v>0</v>
      </c>
      <c r="AD40" s="45">
        <f>SUM(O32:O34)</f>
        <v>0</v>
      </c>
      <c r="AE40" s="22">
        <f>P32</f>
        <v>3600</v>
      </c>
      <c r="AF40" s="145">
        <f>'5 Year Plan'!C39-SUM(AF37:AF39)</f>
        <v>6</v>
      </c>
      <c r="AH40" s="22">
        <f>S32</f>
        <v>0</v>
      </c>
      <c r="AI40" s="45">
        <f>SUM(T32:T34)</f>
        <v>0</v>
      </c>
      <c r="AJ40" s="22">
        <f>U32</f>
        <v>5180</v>
      </c>
      <c r="AK40" s="145">
        <f>'5 Year Plan'!C42-SUM(AK37:AK39)</f>
        <v>6</v>
      </c>
      <c r="AM40" s="4">
        <f>AC17*AD17+AE17*AF17+AH17*AI17+AJ17*AK17+AC40*AD40+AE40*AF40+AH40*AI40+AJ40*AK40</f>
        <v>67900</v>
      </c>
      <c r="AP40" s="9"/>
      <c r="AR40" s="9"/>
      <c r="AU40" s="9"/>
      <c r="AW40" s="9"/>
      <c r="AZ40" s="9"/>
      <c r="BB40" s="9"/>
      <c r="BE40" s="9"/>
    </row>
    <row r="41" spans="2:59" ht="16.5" x14ac:dyDescent="0.85">
      <c r="B41" s="7"/>
      <c r="C41" s="7" t="s">
        <v>16</v>
      </c>
      <c r="D41" s="11"/>
      <c r="E41" s="13"/>
      <c r="F41" s="8">
        <f t="shared" si="13"/>
        <v>770</v>
      </c>
      <c r="G41" s="146">
        <f>'5 Year Plan'!$D$33/12*'Sales Projections_UandC'!Z41</f>
        <v>3.5833333333333335</v>
      </c>
      <c r="H41" s="13"/>
      <c r="I41" s="11"/>
      <c r="J41" s="13"/>
      <c r="K41" s="8">
        <f t="shared" si="14"/>
        <v>2450</v>
      </c>
      <c r="L41" s="146">
        <f>'5 Year Plan'!$D$36/12*'Sales Projections_UandC'!Z41</f>
        <v>1.3333333333333333</v>
      </c>
      <c r="M41" s="13"/>
      <c r="N41" s="11"/>
      <c r="O41" s="13"/>
      <c r="P41" s="8">
        <f t="shared" si="11"/>
        <v>3740</v>
      </c>
      <c r="Q41" s="146">
        <f>'5 Year Plan'!$D$39/12*'Sales Projections_UandC'!Z41</f>
        <v>2.3333333333333335</v>
      </c>
      <c r="S41" s="11"/>
      <c r="T41" s="13"/>
      <c r="U41" s="8">
        <f t="shared" si="12"/>
        <v>5390</v>
      </c>
      <c r="V41" s="146">
        <f>'5 Year Plan'!$D$42/12*'Sales Projections_UandC'!Z41</f>
        <v>2.6666666666666665</v>
      </c>
      <c r="X41" s="37">
        <f t="shared" si="10"/>
        <v>29125.833333333336</v>
      </c>
      <c r="Z41" s="44">
        <v>1</v>
      </c>
      <c r="AB41" s="1" t="s">
        <v>1</v>
      </c>
      <c r="AD41" s="45"/>
      <c r="AF41" s="45"/>
      <c r="AI41" s="45"/>
      <c r="AK41" s="45"/>
      <c r="AM41" s="33">
        <f>SUM(AM37:AM40)</f>
        <v>257380</v>
      </c>
    </row>
    <row r="42" spans="2:59" x14ac:dyDescent="0.35">
      <c r="B42" s="7"/>
      <c r="C42" s="7" t="s">
        <v>15</v>
      </c>
      <c r="D42" s="11"/>
      <c r="E42" s="13"/>
      <c r="F42" s="8">
        <f t="shared" si="13"/>
        <v>770</v>
      </c>
      <c r="G42" s="146">
        <f>'5 Year Plan'!$D$33/12*'Sales Projections_UandC'!Z42</f>
        <v>3.5833333333333335</v>
      </c>
      <c r="H42" s="13"/>
      <c r="I42" s="11"/>
      <c r="J42" s="13"/>
      <c r="K42" s="8">
        <f t="shared" si="14"/>
        <v>2450</v>
      </c>
      <c r="L42" s="146">
        <f>'5 Year Plan'!$D$36/12*'Sales Projections_UandC'!Z42</f>
        <v>1.3333333333333333</v>
      </c>
      <c r="M42" s="13"/>
      <c r="N42" s="11"/>
      <c r="O42" s="13"/>
      <c r="P42" s="8">
        <f t="shared" si="11"/>
        <v>3740</v>
      </c>
      <c r="Q42" s="146">
        <f>'5 Year Plan'!$D$39/12*'Sales Projections_UandC'!Z42</f>
        <v>2.3333333333333335</v>
      </c>
      <c r="S42" s="11"/>
      <c r="T42" s="13"/>
      <c r="U42" s="8">
        <f t="shared" si="12"/>
        <v>5390</v>
      </c>
      <c r="V42" s="146">
        <f>'5 Year Plan'!$D$42/12*'Sales Projections_UandC'!Z42</f>
        <v>2.6666666666666665</v>
      </c>
      <c r="X42" s="37">
        <f t="shared" si="10"/>
        <v>29125.833333333336</v>
      </c>
      <c r="Z42" s="44">
        <v>1</v>
      </c>
      <c r="AD42" s="45"/>
      <c r="AF42" s="45"/>
      <c r="AI42" s="45"/>
      <c r="AK42" s="45"/>
    </row>
    <row r="43" spans="2:59" ht="13.15" x14ac:dyDescent="0.4">
      <c r="B43" s="7"/>
      <c r="C43" s="7" t="s">
        <v>14</v>
      </c>
      <c r="D43" s="11"/>
      <c r="E43" s="13"/>
      <c r="F43" s="8">
        <f t="shared" si="13"/>
        <v>770</v>
      </c>
      <c r="G43" s="146">
        <f>'5 Year Plan'!$D$33/12*'Sales Projections_UandC'!Z43</f>
        <v>3.5833333333333335</v>
      </c>
      <c r="H43" s="13"/>
      <c r="I43" s="11"/>
      <c r="J43" s="13"/>
      <c r="K43" s="8">
        <f t="shared" si="14"/>
        <v>2450</v>
      </c>
      <c r="L43" s="146">
        <f>'5 Year Plan'!$D$36/12*'Sales Projections_UandC'!Z43</f>
        <v>1.3333333333333333</v>
      </c>
      <c r="M43" s="13"/>
      <c r="N43" s="11"/>
      <c r="O43" s="13"/>
      <c r="P43" s="8">
        <f t="shared" si="11"/>
        <v>3740</v>
      </c>
      <c r="Q43" s="146">
        <f>'5 Year Plan'!$D$39/12*'Sales Projections_UandC'!Z43</f>
        <v>2.3333333333333335</v>
      </c>
      <c r="S43" s="11"/>
      <c r="T43" s="13"/>
      <c r="U43" s="8">
        <f t="shared" si="12"/>
        <v>5390</v>
      </c>
      <c r="V43" s="146">
        <f>'5 Year Plan'!$D$42/12*'Sales Projections_UandC'!Z43</f>
        <v>2.6666666666666665</v>
      </c>
      <c r="X43" s="37">
        <f t="shared" si="10"/>
        <v>29125.833333333336</v>
      </c>
      <c r="Z43" s="44">
        <v>1</v>
      </c>
      <c r="AB43" s="1" t="s">
        <v>58</v>
      </c>
      <c r="AC43" s="22">
        <f>N38</f>
        <v>0</v>
      </c>
      <c r="AD43" s="45">
        <f>SUM(O38:O40)</f>
        <v>0</v>
      </c>
      <c r="AE43" s="22">
        <f>P38</f>
        <v>3740</v>
      </c>
      <c r="AF43" s="145">
        <f>ROUND(SUM(Q38:Q40),0)</f>
        <v>6</v>
      </c>
      <c r="AH43" s="22">
        <f>S38</f>
        <v>0</v>
      </c>
      <c r="AI43" s="45">
        <f>SUM(T38:T40)</f>
        <v>0</v>
      </c>
      <c r="AJ43" s="22">
        <f>U38</f>
        <v>5390</v>
      </c>
      <c r="AK43" s="145">
        <f>ROUND(SUM(V38:V40),0)</f>
        <v>7</v>
      </c>
      <c r="AM43" s="4">
        <f>AC20*AD20+AE20*AF20+AH20*AI20+AJ20*AK20+AC43*AD43+AE43*AF43+AH43*AI43+AJ43*AK43</f>
        <v>77670</v>
      </c>
    </row>
    <row r="44" spans="2:59" ht="13.15" x14ac:dyDescent="0.4">
      <c r="B44" s="7"/>
      <c r="C44" s="7" t="s">
        <v>13</v>
      </c>
      <c r="D44" s="11"/>
      <c r="E44" s="13"/>
      <c r="F44" s="8">
        <f t="shared" si="13"/>
        <v>770</v>
      </c>
      <c r="G44" s="146">
        <f>'5 Year Plan'!$D$33/12*'Sales Projections_UandC'!Z44</f>
        <v>3.5833333333333335</v>
      </c>
      <c r="H44" s="13"/>
      <c r="I44" s="11"/>
      <c r="J44" s="13"/>
      <c r="K44" s="8">
        <f t="shared" si="14"/>
        <v>2450</v>
      </c>
      <c r="L44" s="146">
        <f>'5 Year Plan'!$D$36/12*'Sales Projections_UandC'!Z44</f>
        <v>1.3333333333333333</v>
      </c>
      <c r="M44" s="13"/>
      <c r="N44" s="11"/>
      <c r="O44" s="13"/>
      <c r="P44" s="8">
        <f t="shared" si="11"/>
        <v>3740</v>
      </c>
      <c r="Q44" s="146">
        <f>'5 Year Plan'!$D$39/12*'Sales Projections_UandC'!Z44</f>
        <v>2.3333333333333335</v>
      </c>
      <c r="S44" s="11"/>
      <c r="T44" s="13"/>
      <c r="U44" s="8">
        <f t="shared" si="12"/>
        <v>5390</v>
      </c>
      <c r="V44" s="146">
        <f>'5 Year Plan'!$D$42/12*'Sales Projections_UandC'!Z44</f>
        <v>2.6666666666666665</v>
      </c>
      <c r="X44" s="37">
        <f t="shared" si="10"/>
        <v>29125.833333333336</v>
      </c>
      <c r="Z44" s="44">
        <v>1</v>
      </c>
      <c r="AB44" s="1" t="s">
        <v>59</v>
      </c>
      <c r="AC44" s="22">
        <f>N41</f>
        <v>0</v>
      </c>
      <c r="AD44" s="45">
        <f>SUM(O41:O43)</f>
        <v>0</v>
      </c>
      <c r="AE44" s="22">
        <f>P41</f>
        <v>3740</v>
      </c>
      <c r="AF44" s="145">
        <f>ROUND(SUM(Q41:Q43),0)</f>
        <v>7</v>
      </c>
      <c r="AH44" s="22">
        <f>S41</f>
        <v>0</v>
      </c>
      <c r="AI44" s="45">
        <f>SUM(T41:T43)</f>
        <v>0</v>
      </c>
      <c r="AJ44" s="22">
        <f>U41</f>
        <v>5390</v>
      </c>
      <c r="AK44" s="145">
        <f>ROUND(SUM(V41:V43),0)</f>
        <v>8</v>
      </c>
      <c r="AM44" s="4">
        <f>AC21*AD21+AE21*AF21+AH21*AI21+AJ21*AK21+AC44*AD44+AE44*AF44+AH44*AI44+AJ44*AK44</f>
        <v>87570</v>
      </c>
    </row>
    <row r="45" spans="2:59" ht="13.15" x14ac:dyDescent="0.4">
      <c r="B45" s="7"/>
      <c r="C45" s="7" t="s">
        <v>21</v>
      </c>
      <c r="D45" s="11"/>
      <c r="E45" s="13"/>
      <c r="F45" s="8">
        <f t="shared" si="13"/>
        <v>770</v>
      </c>
      <c r="G45" s="146">
        <f>'5 Year Plan'!$D$33/12*'Sales Projections_UandC'!Z45</f>
        <v>3.5833333333333335</v>
      </c>
      <c r="H45" s="13"/>
      <c r="I45" s="11"/>
      <c r="J45" s="13"/>
      <c r="K45" s="8">
        <f t="shared" si="14"/>
        <v>2450</v>
      </c>
      <c r="L45" s="146">
        <f>'5 Year Plan'!$D$36/12*'Sales Projections_UandC'!Z45</f>
        <v>1.3333333333333333</v>
      </c>
      <c r="M45" s="13"/>
      <c r="N45" s="11"/>
      <c r="O45" s="13"/>
      <c r="P45" s="8">
        <f t="shared" si="11"/>
        <v>3740</v>
      </c>
      <c r="Q45" s="146">
        <f>'5 Year Plan'!$D$39/12*'Sales Projections_UandC'!Z45</f>
        <v>2.3333333333333335</v>
      </c>
      <c r="S45" s="11"/>
      <c r="T45" s="13"/>
      <c r="U45" s="8">
        <f t="shared" si="12"/>
        <v>5390</v>
      </c>
      <c r="V45" s="146">
        <f>'5 Year Plan'!$D$42/12*'Sales Projections_UandC'!Z45</f>
        <v>2.6666666666666665</v>
      </c>
      <c r="X45" s="37">
        <f t="shared" si="10"/>
        <v>29125.833333333336</v>
      </c>
      <c r="Z45" s="44">
        <v>1</v>
      </c>
      <c r="AA45" s="1">
        <v>2009</v>
      </c>
      <c r="AB45" s="1" t="s">
        <v>60</v>
      </c>
      <c r="AC45" s="22">
        <f>N44</f>
        <v>0</v>
      </c>
      <c r="AD45" s="45">
        <f>SUM(O44:O46)</f>
        <v>0</v>
      </c>
      <c r="AE45" s="22">
        <f>P44</f>
        <v>3740</v>
      </c>
      <c r="AF45" s="145">
        <f>ROUND(SUM(Q44:Q46),0)</f>
        <v>7</v>
      </c>
      <c r="AH45" s="22">
        <f>S44</f>
        <v>0</v>
      </c>
      <c r="AI45" s="45">
        <f>SUM(T44:T46)</f>
        <v>0</v>
      </c>
      <c r="AJ45" s="22">
        <f>U44</f>
        <v>5390</v>
      </c>
      <c r="AK45" s="145">
        <f>ROUND(SUM(V44:V46),0)</f>
        <v>8</v>
      </c>
      <c r="AM45" s="4">
        <f>AC22*AD22+AE22*AF22+AH22*AI22+AJ22*AK22+AC45*AD45+AE45*AF45+AH45*AI45+AJ45*AK45</f>
        <v>87570</v>
      </c>
    </row>
    <row r="46" spans="2:59" ht="13.15" x14ac:dyDescent="0.4">
      <c r="B46" s="7"/>
      <c r="C46" s="7" t="s">
        <v>22</v>
      </c>
      <c r="D46" s="11"/>
      <c r="E46" s="13"/>
      <c r="F46" s="8">
        <f t="shared" si="13"/>
        <v>770</v>
      </c>
      <c r="G46" s="146">
        <f>'5 Year Plan'!$D$33/12*'Sales Projections_UandC'!Z46</f>
        <v>3.5833333333333335</v>
      </c>
      <c r="H46" s="13"/>
      <c r="I46" s="11"/>
      <c r="J46" s="13"/>
      <c r="K46" s="8">
        <f t="shared" si="14"/>
        <v>2450</v>
      </c>
      <c r="L46" s="146">
        <f>'5 Year Plan'!$D$36/12*'Sales Projections_UandC'!Z46</f>
        <v>1.3333333333333333</v>
      </c>
      <c r="M46" s="13"/>
      <c r="N46" s="11"/>
      <c r="O46" s="13"/>
      <c r="P46" s="8">
        <f t="shared" si="11"/>
        <v>3740</v>
      </c>
      <c r="Q46" s="146">
        <f>'5 Year Plan'!$D$39/12*'Sales Projections_UandC'!Z46</f>
        <v>2.3333333333333335</v>
      </c>
      <c r="S46" s="11"/>
      <c r="T46" s="13"/>
      <c r="U46" s="8">
        <f t="shared" si="12"/>
        <v>5390</v>
      </c>
      <c r="V46" s="146">
        <f>'5 Year Plan'!$D$42/12*'Sales Projections_UandC'!Z46</f>
        <v>2.6666666666666665</v>
      </c>
      <c r="X46" s="37">
        <f t="shared" si="10"/>
        <v>29125.833333333336</v>
      </c>
      <c r="Z46" s="44">
        <v>1</v>
      </c>
      <c r="AB46" s="1" t="s">
        <v>61</v>
      </c>
      <c r="AC46" s="22">
        <f>N47</f>
        <v>0</v>
      </c>
      <c r="AD46" s="45">
        <f>SUM(O47:O49)</f>
        <v>0</v>
      </c>
      <c r="AE46" s="22">
        <f>P47</f>
        <v>3740</v>
      </c>
      <c r="AF46" s="145">
        <f>'5 Year Plan'!D39-SUM(AF43:AF45)</f>
        <v>8</v>
      </c>
      <c r="AH46" s="22">
        <f>S47</f>
        <v>0</v>
      </c>
      <c r="AI46" s="45">
        <f>SUM(T47:T49)</f>
        <v>0</v>
      </c>
      <c r="AJ46" s="22">
        <f>U47</f>
        <v>5390</v>
      </c>
      <c r="AK46" s="145">
        <f>'5 Year Plan'!D42-SUM(AK43:AK45)</f>
        <v>9</v>
      </c>
      <c r="AM46" s="4">
        <f>AC23*AD23+AE23*AF23+AH23*AI23+AJ23*AK23+AC46*AD46+AE46*AF46+AH46*AI46+AJ46*AK46</f>
        <v>96700</v>
      </c>
    </row>
    <row r="47" spans="2:59" ht="16.5" x14ac:dyDescent="0.85">
      <c r="B47" s="7"/>
      <c r="C47" s="7" t="s">
        <v>25</v>
      </c>
      <c r="D47" s="11"/>
      <c r="E47" s="13"/>
      <c r="F47" s="8">
        <f t="shared" si="13"/>
        <v>770</v>
      </c>
      <c r="G47" s="146">
        <f>'5 Year Plan'!$D$33/12*'Sales Projections_UandC'!Z47</f>
        <v>3.9416666666666673</v>
      </c>
      <c r="H47" s="13"/>
      <c r="I47" s="11"/>
      <c r="J47" s="13"/>
      <c r="K47" s="8">
        <f t="shared" si="14"/>
        <v>2450</v>
      </c>
      <c r="L47" s="146">
        <f>'5 Year Plan'!$D$36/12*'Sales Projections_UandC'!Z47</f>
        <v>1.4666666666666668</v>
      </c>
      <c r="M47" s="13"/>
      <c r="N47" s="11"/>
      <c r="O47" s="13"/>
      <c r="P47" s="8">
        <f t="shared" si="11"/>
        <v>3740</v>
      </c>
      <c r="Q47" s="146">
        <f>'5 Year Plan'!$D$39/12*'Sales Projections_UandC'!Z47</f>
        <v>2.5666666666666669</v>
      </c>
      <c r="S47" s="11"/>
      <c r="T47" s="13"/>
      <c r="U47" s="8">
        <f t="shared" si="12"/>
        <v>5390</v>
      </c>
      <c r="V47" s="146">
        <f>'5 Year Plan'!$D$42/12*'Sales Projections_UandC'!Z47</f>
        <v>2.9333333333333336</v>
      </c>
      <c r="X47" s="37">
        <f t="shared" si="10"/>
        <v>32038.416666666672</v>
      </c>
      <c r="Z47" s="44">
        <v>1</v>
      </c>
      <c r="AB47" s="1" t="s">
        <v>1</v>
      </c>
      <c r="AM47" s="33">
        <f>SUM(AM43:AM46)</f>
        <v>349510</v>
      </c>
    </row>
    <row r="48" spans="2:59" x14ac:dyDescent="0.35">
      <c r="B48" s="7"/>
      <c r="C48" s="7" t="s">
        <v>20</v>
      </c>
      <c r="D48" s="11"/>
      <c r="E48" s="13"/>
      <c r="F48" s="8">
        <f t="shared" si="13"/>
        <v>770</v>
      </c>
      <c r="G48" s="146">
        <f>'5 Year Plan'!$D$33/12*'Sales Projections_UandC'!Z48</f>
        <v>3.9416666666666673</v>
      </c>
      <c r="H48" s="13"/>
      <c r="I48" s="11"/>
      <c r="J48" s="13"/>
      <c r="K48" s="8">
        <f t="shared" si="14"/>
        <v>2450</v>
      </c>
      <c r="L48" s="146">
        <f>'5 Year Plan'!$D$36/12*'Sales Projections_UandC'!Z48</f>
        <v>1.4666666666666668</v>
      </c>
      <c r="M48" s="13"/>
      <c r="N48" s="11"/>
      <c r="O48" s="13"/>
      <c r="P48" s="8">
        <f t="shared" si="11"/>
        <v>3740</v>
      </c>
      <c r="Q48" s="146">
        <f>'5 Year Plan'!$D$39/12*'Sales Projections_UandC'!Z48</f>
        <v>2.5666666666666669</v>
      </c>
      <c r="S48" s="11"/>
      <c r="T48" s="13"/>
      <c r="U48" s="8">
        <f t="shared" si="12"/>
        <v>5390</v>
      </c>
      <c r="V48" s="146">
        <f>'5 Year Plan'!$D$42/12*'Sales Projections_UandC'!Z48</f>
        <v>2.9333333333333336</v>
      </c>
      <c r="X48" s="37">
        <f t="shared" si="10"/>
        <v>32038.416666666672</v>
      </c>
      <c r="Z48" s="44">
        <v>1</v>
      </c>
    </row>
    <row r="49" spans="2:27" x14ac:dyDescent="0.35">
      <c r="B49" s="6"/>
      <c r="C49" s="7" t="s">
        <v>12</v>
      </c>
      <c r="D49" s="11"/>
      <c r="E49" s="13"/>
      <c r="F49" s="8">
        <f t="shared" si="13"/>
        <v>770</v>
      </c>
      <c r="G49" s="146">
        <f>'5 Year Plan'!$D$33/12*'Sales Projections_UandC'!Z49</f>
        <v>3.9416666666666673</v>
      </c>
      <c r="H49" s="13"/>
      <c r="I49" s="11"/>
      <c r="J49" s="13"/>
      <c r="K49" s="8">
        <f t="shared" si="14"/>
        <v>2450</v>
      </c>
      <c r="L49" s="146">
        <f>'5 Year Plan'!$D$36/12*'Sales Projections_UandC'!Z49</f>
        <v>1.4666666666666668</v>
      </c>
      <c r="M49" s="13"/>
      <c r="N49" s="11"/>
      <c r="O49" s="13"/>
      <c r="P49" s="8">
        <f t="shared" si="11"/>
        <v>3740</v>
      </c>
      <c r="Q49" s="146">
        <f>'5 Year Plan'!$D$39/12*'Sales Projections_UandC'!Z49</f>
        <v>2.5666666666666669</v>
      </c>
      <c r="S49" s="11"/>
      <c r="T49" s="13"/>
      <c r="U49" s="8">
        <f t="shared" si="12"/>
        <v>5390</v>
      </c>
      <c r="V49" s="146">
        <f>'5 Year Plan'!$D$42/12*'Sales Projections_UandC'!Z49</f>
        <v>2.9333333333333336</v>
      </c>
      <c r="X49" s="38">
        <f>D49*E49+F49*G49+I49*J49+K49*L49+N49*O49+P49*Q49+S49*T49+U49*V49</f>
        <v>32038.416666666672</v>
      </c>
      <c r="Z49" s="44">
        <v>1</v>
      </c>
      <c r="AA49" s="7"/>
    </row>
    <row r="50" spans="2:27" ht="16.5" x14ac:dyDescent="0.85">
      <c r="B50" s="6"/>
      <c r="C50" s="7" t="s">
        <v>1</v>
      </c>
      <c r="D50" s="11"/>
      <c r="E50" s="13"/>
      <c r="F50" s="8"/>
      <c r="G50" s="15"/>
      <c r="H50" s="13"/>
      <c r="I50" s="11"/>
      <c r="J50" s="13"/>
      <c r="K50" s="8"/>
      <c r="L50" s="15"/>
      <c r="M50" s="13"/>
      <c r="N50" s="11"/>
      <c r="O50" s="13"/>
      <c r="P50" s="8"/>
      <c r="Q50" s="15"/>
      <c r="S50" s="11"/>
      <c r="T50" s="13"/>
      <c r="U50" s="8"/>
      <c r="V50" s="15"/>
      <c r="X50" s="40">
        <f>SUM(X38:X49)</f>
        <v>349510.00000000012</v>
      </c>
      <c r="AA50" s="9"/>
    </row>
    <row r="51" spans="2:27" ht="16.5" x14ac:dyDescent="0.85">
      <c r="B51" s="6"/>
      <c r="C51" s="7"/>
      <c r="D51" s="8"/>
      <c r="E51" s="13"/>
      <c r="F51" s="8"/>
      <c r="G51" s="13"/>
      <c r="H51" s="13"/>
      <c r="I51" s="8"/>
      <c r="J51" s="13"/>
      <c r="K51" s="8"/>
      <c r="L51" s="13"/>
      <c r="M51" s="13"/>
      <c r="N51" s="8"/>
      <c r="O51" s="13"/>
      <c r="P51" s="8"/>
      <c r="Q51" s="13"/>
      <c r="S51" s="8"/>
      <c r="T51" s="13"/>
      <c r="U51" s="8"/>
      <c r="V51" s="13"/>
      <c r="X51" s="33"/>
      <c r="Z51" s="48"/>
      <c r="AA51" s="9"/>
    </row>
    <row r="52" spans="2:27" ht="16.5" x14ac:dyDescent="0.85">
      <c r="B52" s="6"/>
      <c r="C52" s="7"/>
      <c r="D52" s="8"/>
      <c r="E52" s="13"/>
      <c r="F52" s="8"/>
      <c r="G52" s="13"/>
      <c r="H52" s="13"/>
      <c r="I52" s="8"/>
      <c r="J52" s="13"/>
      <c r="K52" s="8"/>
      <c r="L52" s="13"/>
      <c r="M52" s="13"/>
      <c r="N52" s="8"/>
      <c r="O52" s="13"/>
      <c r="P52" s="8"/>
      <c r="Q52" s="13"/>
      <c r="S52" s="8"/>
      <c r="T52" s="13"/>
      <c r="U52" s="8"/>
      <c r="V52" s="13"/>
      <c r="X52" s="33"/>
      <c r="AA52" s="9"/>
    </row>
    <row r="53" spans="2:27" x14ac:dyDescent="0.35">
      <c r="B53" s="6"/>
      <c r="C53" s="7"/>
      <c r="D53" s="8"/>
      <c r="E53" s="13"/>
      <c r="F53" s="8"/>
      <c r="G53" s="13"/>
      <c r="H53" s="13"/>
      <c r="I53" s="8"/>
      <c r="J53" s="13"/>
      <c r="K53" s="8"/>
      <c r="L53" s="13"/>
      <c r="M53" s="13"/>
      <c r="N53" s="8"/>
      <c r="O53" s="13"/>
      <c r="P53" s="8"/>
      <c r="Q53" s="13"/>
      <c r="S53" s="8"/>
      <c r="T53" s="13"/>
      <c r="U53" s="8"/>
      <c r="V53" s="13"/>
      <c r="X53" s="4"/>
    </row>
    <row r="54" spans="2:27" x14ac:dyDescent="0.35">
      <c r="B54" s="6"/>
      <c r="C54" s="6"/>
    </row>
    <row r="55" spans="2:27" x14ac:dyDescent="0.35">
      <c r="B55" s="6"/>
      <c r="C55" s="6"/>
    </row>
    <row r="56" spans="2:27" x14ac:dyDescent="0.35">
      <c r="B56" s="6"/>
      <c r="C56" s="6"/>
    </row>
    <row r="57" spans="2:27" x14ac:dyDescent="0.35">
      <c r="B57" s="6"/>
      <c r="C57" s="6"/>
    </row>
    <row r="58" spans="2:27" x14ac:dyDescent="0.35">
      <c r="B58" s="6"/>
      <c r="C58" s="6"/>
    </row>
    <row r="59" spans="2:27" x14ac:dyDescent="0.35">
      <c r="B59" s="6"/>
      <c r="C59" s="6"/>
    </row>
    <row r="60" spans="2:27" x14ac:dyDescent="0.35">
      <c r="B60" s="6"/>
      <c r="C60" s="6"/>
    </row>
    <row r="61" spans="2:27" x14ac:dyDescent="0.35">
      <c r="B61" s="6"/>
      <c r="C61" s="6"/>
    </row>
  </sheetData>
  <sheetProtection password="DEE9" sheet="1" objects="1" scenarios="1" selectLockedCells="1"/>
  <mergeCells count="3">
    <mergeCell ref="D5:X5"/>
    <mergeCell ref="AA5:AM5"/>
    <mergeCell ref="AA28:AM28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P50"/>
  <sheetViews>
    <sheetView showGridLines="0" topLeftCell="I1" zoomScale="75" workbookViewId="0">
      <selection activeCell="Q18" sqref="Q18:R18"/>
    </sheetView>
  </sheetViews>
  <sheetFormatPr defaultRowHeight="12.75" x14ac:dyDescent="0.35"/>
  <cols>
    <col min="1" max="3" width="9.1328125" hidden="1" customWidth="1"/>
    <col min="4" max="4" width="10.59765625" hidden="1" customWidth="1"/>
    <col min="5" max="5" width="9.1328125" hidden="1" customWidth="1"/>
    <col min="6" max="6" width="2.265625" hidden="1" customWidth="1"/>
    <col min="7" max="7" width="14.73046875" hidden="1" customWidth="1"/>
    <col min="8" max="8" width="9.1328125" hidden="1" customWidth="1"/>
    <col min="9" max="10" width="9.73046875" customWidth="1"/>
    <col min="11" max="11" width="15.73046875" customWidth="1"/>
    <col min="12" max="12" width="12.73046875" customWidth="1"/>
    <col min="13" max="13" width="15.73046875" customWidth="1"/>
    <col min="14" max="14" width="12.73046875" customWidth="1"/>
    <col min="15" max="15" width="9.73046875" customWidth="1"/>
    <col min="16" max="16" width="15.73046875" customWidth="1"/>
  </cols>
  <sheetData>
    <row r="2" spans="2:16" x14ac:dyDescent="0.35">
      <c r="B2" s="19" t="s">
        <v>31</v>
      </c>
      <c r="I2" s="19" t="s">
        <v>31</v>
      </c>
    </row>
    <row r="4" spans="2:16" ht="13.5" thickBot="1" x14ac:dyDescent="0.45">
      <c r="B4" s="18" t="s">
        <v>29</v>
      </c>
      <c r="C4" s="18"/>
      <c r="D4" s="18"/>
      <c r="E4" s="18"/>
      <c r="F4" s="18"/>
      <c r="G4" s="18"/>
      <c r="I4" s="18" t="s">
        <v>29</v>
      </c>
      <c r="J4" s="18"/>
      <c r="K4" s="18"/>
      <c r="L4" s="18"/>
      <c r="M4" s="18"/>
      <c r="N4" s="18"/>
      <c r="O4" s="21"/>
      <c r="P4" s="21"/>
    </row>
    <row r="5" spans="2:16" x14ac:dyDescent="0.35">
      <c r="D5" s="208" t="s">
        <v>10</v>
      </c>
      <c r="E5" s="208"/>
      <c r="F5" s="208"/>
      <c r="G5" s="209"/>
      <c r="K5" s="208"/>
      <c r="L5" s="208"/>
      <c r="M5" s="208"/>
      <c r="N5" s="209"/>
    </row>
    <row r="6" spans="2:16" x14ac:dyDescent="0.35">
      <c r="D6" s="210" t="s">
        <v>56</v>
      </c>
      <c r="E6" s="211"/>
      <c r="F6" s="10"/>
      <c r="G6" s="17" t="s">
        <v>1</v>
      </c>
      <c r="K6" s="10" t="s">
        <v>62</v>
      </c>
      <c r="L6" s="10" t="s">
        <v>24</v>
      </c>
      <c r="M6" s="10" t="s">
        <v>62</v>
      </c>
      <c r="N6" s="10" t="s">
        <v>24</v>
      </c>
      <c r="P6" s="17" t="s">
        <v>1</v>
      </c>
    </row>
    <row r="7" spans="2:16" x14ac:dyDescent="0.35">
      <c r="D7" s="16" t="s">
        <v>27</v>
      </c>
      <c r="E7" s="14"/>
      <c r="F7" s="10"/>
      <c r="G7" s="36"/>
      <c r="K7" s="32" t="s">
        <v>27</v>
      </c>
      <c r="L7" s="10"/>
      <c r="M7" s="32" t="s">
        <v>28</v>
      </c>
    </row>
    <row r="8" spans="2:16" ht="13.15" x14ac:dyDescent="0.4">
      <c r="B8" s="7">
        <v>2006</v>
      </c>
      <c r="C8" s="7" t="s">
        <v>19</v>
      </c>
      <c r="D8" s="11">
        <f>'5 Year Plan'!B147</f>
        <v>12000</v>
      </c>
      <c r="E8" s="146">
        <f>'5 Year Plan'!$B$48/12</f>
        <v>0.16666666666666666</v>
      </c>
      <c r="F8" s="13"/>
      <c r="G8" s="37">
        <f>E8*D8</f>
        <v>2000</v>
      </c>
      <c r="I8" s="7">
        <v>2006</v>
      </c>
      <c r="J8" s="1" t="s">
        <v>58</v>
      </c>
      <c r="K8" s="22">
        <f>'5 Year Plan'!B147</f>
        <v>12000</v>
      </c>
      <c r="L8" s="149">
        <f>ROUNDDOWN(SUM(E8:E10),0)</f>
        <v>0</v>
      </c>
      <c r="P8" s="22">
        <f>K8*L8</f>
        <v>0</v>
      </c>
    </row>
    <row r="9" spans="2:16" ht="13.15" x14ac:dyDescent="0.4">
      <c r="B9" s="7"/>
      <c r="C9" s="7" t="s">
        <v>18</v>
      </c>
      <c r="D9" s="11">
        <f>D8</f>
        <v>12000</v>
      </c>
      <c r="E9" s="146">
        <f>'5 Year Plan'!$B$48/12</f>
        <v>0.16666666666666666</v>
      </c>
      <c r="F9" s="13"/>
      <c r="G9" s="37">
        <f t="shared" ref="G9:G19" si="0">E9*D9</f>
        <v>2000</v>
      </c>
      <c r="J9" s="1" t="s">
        <v>59</v>
      </c>
      <c r="K9" s="22">
        <f>K8</f>
        <v>12000</v>
      </c>
      <c r="L9" s="149">
        <f>ROUNDDOWN(SUM(E11:E13),0)</f>
        <v>0</v>
      </c>
      <c r="P9" s="22">
        <f>K9*L9</f>
        <v>0</v>
      </c>
    </row>
    <row r="10" spans="2:16" ht="13.15" x14ac:dyDescent="0.4">
      <c r="B10" s="7"/>
      <c r="C10" s="7" t="s">
        <v>17</v>
      </c>
      <c r="D10" s="11">
        <f t="shared" ref="D10:D19" si="1">D9</f>
        <v>12000</v>
      </c>
      <c r="E10" s="146">
        <f>'5 Year Plan'!$B$48/12</f>
        <v>0.16666666666666666</v>
      </c>
      <c r="F10" s="13"/>
      <c r="G10" s="37">
        <f t="shared" si="0"/>
        <v>2000</v>
      </c>
      <c r="I10" s="1">
        <v>2007</v>
      </c>
      <c r="J10" s="1" t="s">
        <v>60</v>
      </c>
      <c r="K10" s="22">
        <f>K9</f>
        <v>12000</v>
      </c>
      <c r="L10" s="149">
        <f>ROUNDDOWN(SUM(E14:E16),0)</f>
        <v>0</v>
      </c>
      <c r="P10" s="22">
        <f>K10*L10</f>
        <v>0</v>
      </c>
    </row>
    <row r="11" spans="2:16" ht="13.15" x14ac:dyDescent="0.4">
      <c r="B11" s="7"/>
      <c r="C11" s="7" t="s">
        <v>16</v>
      </c>
      <c r="D11" s="11">
        <f t="shared" si="1"/>
        <v>12000</v>
      </c>
      <c r="E11" s="146">
        <f>'5 Year Plan'!$B$48/12</f>
        <v>0.16666666666666666</v>
      </c>
      <c r="F11" s="13"/>
      <c r="G11" s="37">
        <f t="shared" si="0"/>
        <v>2000</v>
      </c>
      <c r="I11" s="1"/>
      <c r="J11" s="1" t="s">
        <v>61</v>
      </c>
      <c r="K11" s="22">
        <f>K10</f>
        <v>12000</v>
      </c>
      <c r="L11" s="149">
        <f>'5 Year Plan'!B48-SUM('Sales Projections_SS'!L8:L10)</f>
        <v>2</v>
      </c>
      <c r="P11" s="22">
        <f>K11*L11</f>
        <v>24000</v>
      </c>
    </row>
    <row r="12" spans="2:16" ht="16.5" x14ac:dyDescent="0.85">
      <c r="B12" s="7"/>
      <c r="C12" s="7" t="s">
        <v>15</v>
      </c>
      <c r="D12" s="11">
        <f t="shared" si="1"/>
        <v>12000</v>
      </c>
      <c r="E12" s="146">
        <f>'5 Year Plan'!$B$48/12</f>
        <v>0.16666666666666666</v>
      </c>
      <c r="F12" s="13"/>
      <c r="G12" s="37">
        <f t="shared" si="0"/>
        <v>2000</v>
      </c>
      <c r="J12" s="1" t="s">
        <v>1</v>
      </c>
      <c r="P12" s="46">
        <f>SUM(P8:P11)</f>
        <v>24000</v>
      </c>
    </row>
    <row r="13" spans="2:16" x14ac:dyDescent="0.35">
      <c r="B13" s="7"/>
      <c r="C13" s="7" t="s">
        <v>14</v>
      </c>
      <c r="D13" s="11">
        <f t="shared" si="1"/>
        <v>12000</v>
      </c>
      <c r="E13" s="146">
        <f>'5 Year Plan'!$B$48/12</f>
        <v>0.16666666666666666</v>
      </c>
      <c r="F13" s="13"/>
      <c r="G13" s="37">
        <f t="shared" si="0"/>
        <v>2000</v>
      </c>
    </row>
    <row r="14" spans="2:16" ht="13.15" x14ac:dyDescent="0.4">
      <c r="B14" s="7"/>
      <c r="C14" s="7" t="s">
        <v>13</v>
      </c>
      <c r="D14" s="11">
        <f t="shared" si="1"/>
        <v>12000</v>
      </c>
      <c r="E14" s="146">
        <f>'5 Year Plan'!$B$48/12</f>
        <v>0.16666666666666666</v>
      </c>
      <c r="F14" s="13"/>
      <c r="G14" s="37">
        <f t="shared" si="0"/>
        <v>2000</v>
      </c>
      <c r="J14" s="1" t="s">
        <v>58</v>
      </c>
      <c r="M14" s="22">
        <f>'5 Year Plan'!C147</f>
        <v>15000</v>
      </c>
      <c r="N14" s="149">
        <f>ROUNDDOWN(SUM(E23:E25),0)</f>
        <v>1</v>
      </c>
      <c r="P14" s="22">
        <f>M14*N14</f>
        <v>15000</v>
      </c>
    </row>
    <row r="15" spans="2:16" ht="13.15" x14ac:dyDescent="0.4">
      <c r="B15" s="7"/>
      <c r="C15" s="7" t="s">
        <v>21</v>
      </c>
      <c r="D15" s="11">
        <f t="shared" si="1"/>
        <v>12000</v>
      </c>
      <c r="E15" s="146">
        <f>'5 Year Plan'!$B$48/12</f>
        <v>0.16666666666666666</v>
      </c>
      <c r="F15" s="13"/>
      <c r="G15" s="37">
        <f t="shared" si="0"/>
        <v>2000</v>
      </c>
      <c r="J15" s="1" t="s">
        <v>59</v>
      </c>
      <c r="M15" s="22">
        <f>M14</f>
        <v>15000</v>
      </c>
      <c r="N15" s="149">
        <f>ROUNDDOWN(SUM(E26:E28),0)</f>
        <v>1</v>
      </c>
      <c r="P15" s="22">
        <f t="shared" ref="P15:P23" si="2">M15*N15</f>
        <v>15000</v>
      </c>
    </row>
    <row r="16" spans="2:16" ht="13.15" x14ac:dyDescent="0.4">
      <c r="B16" s="7"/>
      <c r="C16" s="7" t="s">
        <v>22</v>
      </c>
      <c r="D16" s="11">
        <f t="shared" si="1"/>
        <v>12000</v>
      </c>
      <c r="E16" s="146">
        <f>'5 Year Plan'!$B$48/12</f>
        <v>0.16666666666666666</v>
      </c>
      <c r="F16" s="13"/>
      <c r="G16" s="37">
        <f t="shared" si="0"/>
        <v>2000</v>
      </c>
      <c r="I16" s="1">
        <v>2008</v>
      </c>
      <c r="J16" s="1" t="s">
        <v>60</v>
      </c>
      <c r="M16" s="22">
        <f>M15</f>
        <v>15000</v>
      </c>
      <c r="N16" s="149">
        <f>ROUNDDOWN(SUM(E29:E31),0)</f>
        <v>1</v>
      </c>
      <c r="P16" s="22">
        <f t="shared" si="2"/>
        <v>15000</v>
      </c>
    </row>
    <row r="17" spans="2:16" ht="13.15" x14ac:dyDescent="0.4">
      <c r="B17" s="7"/>
      <c r="C17" s="7" t="s">
        <v>25</v>
      </c>
      <c r="D17" s="11">
        <f t="shared" si="1"/>
        <v>12000</v>
      </c>
      <c r="E17" s="146">
        <f>'5 Year Plan'!$B$48/12</f>
        <v>0.16666666666666666</v>
      </c>
      <c r="F17" s="13"/>
      <c r="G17" s="37">
        <f t="shared" si="0"/>
        <v>2000</v>
      </c>
      <c r="J17" s="1" t="s">
        <v>61</v>
      </c>
      <c r="M17" s="22">
        <f>M16</f>
        <v>15000</v>
      </c>
      <c r="N17" s="149">
        <f>'5 Year Plan'!C48-SUM('Sales Projections_SS'!N14:N16)</f>
        <v>1</v>
      </c>
      <c r="P17" s="22">
        <f t="shared" si="2"/>
        <v>15000</v>
      </c>
    </row>
    <row r="18" spans="2:16" ht="16.5" x14ac:dyDescent="0.85">
      <c r="B18" s="7"/>
      <c r="C18" s="7" t="s">
        <v>20</v>
      </c>
      <c r="D18" s="11">
        <f t="shared" si="1"/>
        <v>12000</v>
      </c>
      <c r="E18" s="146">
        <f>'5 Year Plan'!$B$48/12</f>
        <v>0.16666666666666666</v>
      </c>
      <c r="F18" s="13"/>
      <c r="G18" s="37">
        <f t="shared" si="0"/>
        <v>2000</v>
      </c>
      <c r="J18" s="1" t="s">
        <v>1</v>
      </c>
      <c r="P18" s="46">
        <f>SUM(P14:P17)</f>
        <v>60000</v>
      </c>
    </row>
    <row r="19" spans="2:16" x14ac:dyDescent="0.35">
      <c r="B19" s="7"/>
      <c r="C19" s="7" t="s">
        <v>12</v>
      </c>
      <c r="D19" s="11">
        <f t="shared" si="1"/>
        <v>12000</v>
      </c>
      <c r="E19" s="146">
        <f>'5 Year Plan'!$B$48/12</f>
        <v>0.16666666666666666</v>
      </c>
      <c r="F19" s="13"/>
      <c r="G19" s="37">
        <f t="shared" si="0"/>
        <v>2000</v>
      </c>
      <c r="P19" s="22"/>
    </row>
    <row r="20" spans="2:16" ht="16.5" x14ac:dyDescent="0.85">
      <c r="B20" s="7"/>
      <c r="C20" s="7" t="s">
        <v>1</v>
      </c>
      <c r="D20" s="11"/>
      <c r="E20" s="146"/>
      <c r="F20" s="13"/>
      <c r="G20" s="39">
        <f>SUM(G8:G19)</f>
        <v>24000</v>
      </c>
      <c r="J20" s="1" t="s">
        <v>58</v>
      </c>
      <c r="M20" s="22">
        <f>'5 Year Plan'!D147</f>
        <v>15600</v>
      </c>
      <c r="N20" s="149">
        <f>ROUNDDOWN(SUM(E38:E40),0)</f>
        <v>1</v>
      </c>
      <c r="P20" s="22">
        <f t="shared" si="2"/>
        <v>15600</v>
      </c>
    </row>
    <row r="21" spans="2:16" ht="13.15" x14ac:dyDescent="0.4">
      <c r="B21" s="7"/>
      <c r="C21" s="41"/>
      <c r="D21" s="10"/>
      <c r="E21" s="147"/>
      <c r="F21" s="2"/>
      <c r="G21" s="4"/>
      <c r="J21" s="1" t="s">
        <v>59</v>
      </c>
      <c r="M21" s="22">
        <f>M20</f>
        <v>15600</v>
      </c>
      <c r="N21" s="149">
        <f>ROUNDDOWN(SUM(E41:E43),0)</f>
        <v>1</v>
      </c>
      <c r="P21" s="22">
        <f t="shared" si="2"/>
        <v>15600</v>
      </c>
    </row>
    <row r="22" spans="2:16" ht="13.15" x14ac:dyDescent="0.4">
      <c r="B22" s="7"/>
      <c r="C22" s="7"/>
      <c r="D22" s="16" t="s">
        <v>28</v>
      </c>
      <c r="E22" s="148"/>
      <c r="F22" s="2"/>
      <c r="G22" s="36"/>
      <c r="I22" s="1">
        <v>2009</v>
      </c>
      <c r="J22" s="1" t="s">
        <v>60</v>
      </c>
      <c r="M22" s="22">
        <f>M21</f>
        <v>15600</v>
      </c>
      <c r="N22" s="149">
        <f>ROUNDDOWN(SUM(E44:E46),0)</f>
        <v>1</v>
      </c>
      <c r="P22" s="22">
        <f t="shared" si="2"/>
        <v>15600</v>
      </c>
    </row>
    <row r="23" spans="2:16" ht="13.15" x14ac:dyDescent="0.4">
      <c r="B23" s="7">
        <v>2007</v>
      </c>
      <c r="C23" s="7" t="s">
        <v>19</v>
      </c>
      <c r="D23" s="11">
        <f>'5 Year Plan'!C147</f>
        <v>15000</v>
      </c>
      <c r="E23" s="146">
        <f>'5 Year Plan'!$C$48/12</f>
        <v>0.33333333333333331</v>
      </c>
      <c r="F23" s="13"/>
      <c r="G23" s="37">
        <f>E23*D23</f>
        <v>5000</v>
      </c>
      <c r="J23" s="1" t="s">
        <v>61</v>
      </c>
      <c r="M23" s="22">
        <f>M22</f>
        <v>15600</v>
      </c>
      <c r="N23" s="149">
        <f>'5 Year Plan'!D48-SUM('Sales Projections_SS'!N20:N22)</f>
        <v>2</v>
      </c>
      <c r="P23" s="22">
        <f t="shared" si="2"/>
        <v>31200</v>
      </c>
    </row>
    <row r="24" spans="2:16" ht="16.5" x14ac:dyDescent="0.85">
      <c r="B24" s="7"/>
      <c r="C24" s="7" t="s">
        <v>18</v>
      </c>
      <c r="D24" s="11">
        <f>D23</f>
        <v>15000</v>
      </c>
      <c r="E24" s="146">
        <f>'5 Year Plan'!$C$48/12</f>
        <v>0.33333333333333331</v>
      </c>
      <c r="F24" s="13"/>
      <c r="G24" s="37">
        <f t="shared" ref="G24:G34" si="3">E24*D24</f>
        <v>5000</v>
      </c>
      <c r="J24" s="1" t="s">
        <v>1</v>
      </c>
      <c r="P24" s="46">
        <f>SUM(P20:P23)</f>
        <v>78000</v>
      </c>
    </row>
    <row r="25" spans="2:16" x14ac:dyDescent="0.35">
      <c r="B25" s="7"/>
      <c r="C25" s="7" t="s">
        <v>17</v>
      </c>
      <c r="D25" s="11">
        <f t="shared" ref="D25:D34" si="4">D24</f>
        <v>15000</v>
      </c>
      <c r="E25" s="146">
        <f>'5 Year Plan'!$C$48/12</f>
        <v>0.33333333333333331</v>
      </c>
      <c r="F25" s="13"/>
      <c r="G25" s="37">
        <f t="shared" si="3"/>
        <v>5000</v>
      </c>
    </row>
    <row r="26" spans="2:16" x14ac:dyDescent="0.35">
      <c r="B26" s="7"/>
      <c r="C26" s="7" t="s">
        <v>16</v>
      </c>
      <c r="D26" s="11">
        <f t="shared" si="4"/>
        <v>15000</v>
      </c>
      <c r="E26" s="146">
        <f>'5 Year Plan'!$C$48/12</f>
        <v>0.33333333333333331</v>
      </c>
      <c r="F26" s="13"/>
      <c r="G26" s="37">
        <f t="shared" si="3"/>
        <v>5000</v>
      </c>
    </row>
    <row r="27" spans="2:16" x14ac:dyDescent="0.35">
      <c r="B27" s="7"/>
      <c r="C27" s="7" t="s">
        <v>15</v>
      </c>
      <c r="D27" s="11">
        <f t="shared" si="4"/>
        <v>15000</v>
      </c>
      <c r="E27" s="146">
        <f>'5 Year Plan'!$C$48/12</f>
        <v>0.33333333333333331</v>
      </c>
      <c r="F27" s="13"/>
      <c r="G27" s="37">
        <f t="shared" si="3"/>
        <v>5000</v>
      </c>
    </row>
    <row r="28" spans="2:16" x14ac:dyDescent="0.35">
      <c r="B28" s="7"/>
      <c r="C28" s="7" t="s">
        <v>14</v>
      </c>
      <c r="D28" s="11">
        <f t="shared" si="4"/>
        <v>15000</v>
      </c>
      <c r="E28" s="146">
        <f>'5 Year Plan'!$C$48/12</f>
        <v>0.33333333333333331</v>
      </c>
      <c r="F28" s="13"/>
      <c r="G28" s="37">
        <f t="shared" si="3"/>
        <v>5000</v>
      </c>
    </row>
    <row r="29" spans="2:16" x14ac:dyDescent="0.35">
      <c r="B29" s="7"/>
      <c r="C29" s="7" t="s">
        <v>13</v>
      </c>
      <c r="D29" s="11">
        <f t="shared" si="4"/>
        <v>15000</v>
      </c>
      <c r="E29" s="146">
        <f>'5 Year Plan'!$C$48/12</f>
        <v>0.33333333333333331</v>
      </c>
      <c r="F29" s="13"/>
      <c r="G29" s="37">
        <f t="shared" si="3"/>
        <v>5000</v>
      </c>
    </row>
    <row r="30" spans="2:16" x14ac:dyDescent="0.35">
      <c r="B30" s="7"/>
      <c r="C30" s="7" t="s">
        <v>21</v>
      </c>
      <c r="D30" s="11">
        <f t="shared" si="4"/>
        <v>15000</v>
      </c>
      <c r="E30" s="146">
        <f>'5 Year Plan'!$C$48/12</f>
        <v>0.33333333333333331</v>
      </c>
      <c r="F30" s="13"/>
      <c r="G30" s="37">
        <f t="shared" si="3"/>
        <v>5000</v>
      </c>
    </row>
    <row r="31" spans="2:16" x14ac:dyDescent="0.35">
      <c r="B31" s="7"/>
      <c r="C31" s="7" t="s">
        <v>22</v>
      </c>
      <c r="D31" s="11">
        <f t="shared" si="4"/>
        <v>15000</v>
      </c>
      <c r="E31" s="146">
        <f>'5 Year Plan'!$C$48/12</f>
        <v>0.33333333333333331</v>
      </c>
      <c r="F31" s="13"/>
      <c r="G31" s="37">
        <f t="shared" si="3"/>
        <v>5000</v>
      </c>
    </row>
    <row r="32" spans="2:16" x14ac:dyDescent="0.35">
      <c r="B32" s="7"/>
      <c r="C32" s="7" t="s">
        <v>25</v>
      </c>
      <c r="D32" s="11">
        <f t="shared" si="4"/>
        <v>15000</v>
      </c>
      <c r="E32" s="146">
        <f>'5 Year Plan'!$C$48/12</f>
        <v>0.33333333333333331</v>
      </c>
      <c r="F32" s="13"/>
      <c r="G32" s="37">
        <f t="shared" si="3"/>
        <v>5000</v>
      </c>
    </row>
    <row r="33" spans="2:7" x14ac:dyDescent="0.35">
      <c r="B33" s="7"/>
      <c r="C33" s="7" t="s">
        <v>20</v>
      </c>
      <c r="D33" s="11">
        <f t="shared" si="4"/>
        <v>15000</v>
      </c>
      <c r="E33" s="146">
        <f>'5 Year Plan'!$C$48/12</f>
        <v>0.33333333333333331</v>
      </c>
      <c r="F33" s="13"/>
      <c r="G33" s="37">
        <f t="shared" si="3"/>
        <v>5000</v>
      </c>
    </row>
    <row r="34" spans="2:7" x14ac:dyDescent="0.35">
      <c r="B34" s="6"/>
      <c r="C34" s="7" t="s">
        <v>12</v>
      </c>
      <c r="D34" s="11">
        <f t="shared" si="4"/>
        <v>15000</v>
      </c>
      <c r="E34" s="146">
        <f>'5 Year Plan'!$C$48/12</f>
        <v>0.33333333333333331</v>
      </c>
      <c r="F34" s="13"/>
      <c r="G34" s="37">
        <f t="shared" si="3"/>
        <v>5000</v>
      </c>
    </row>
    <row r="35" spans="2:7" ht="16.5" x14ac:dyDescent="0.85">
      <c r="B35" s="6"/>
      <c r="C35" s="7" t="s">
        <v>1</v>
      </c>
      <c r="D35" s="11"/>
      <c r="E35" s="146"/>
      <c r="F35" s="13"/>
      <c r="G35" s="40">
        <f>SUM(G23:G34)</f>
        <v>60000</v>
      </c>
    </row>
    <row r="36" spans="2:7" ht="16.5" x14ac:dyDescent="0.85">
      <c r="B36" s="6"/>
      <c r="C36" s="41"/>
      <c r="D36" s="8"/>
      <c r="E36" s="94"/>
      <c r="F36" s="13"/>
      <c r="G36" s="33"/>
    </row>
    <row r="37" spans="2:7" x14ac:dyDescent="0.35">
      <c r="B37" s="7"/>
      <c r="C37" s="7"/>
      <c r="D37" s="16" t="s">
        <v>26</v>
      </c>
      <c r="E37" s="148"/>
      <c r="F37" s="2"/>
      <c r="G37" s="36"/>
    </row>
    <row r="38" spans="2:7" x14ac:dyDescent="0.35">
      <c r="B38" s="7">
        <v>2008</v>
      </c>
      <c r="C38" s="7" t="s">
        <v>19</v>
      </c>
      <c r="D38" s="11">
        <f>'5 Year Plan'!D147</f>
        <v>15600</v>
      </c>
      <c r="E38" s="146">
        <f>'5 Year Plan'!$D$48/12</f>
        <v>0.41666666666666669</v>
      </c>
      <c r="F38" s="13"/>
      <c r="G38" s="37">
        <f t="shared" ref="G38:G49" si="5">E38*D38</f>
        <v>6500</v>
      </c>
    </row>
    <row r="39" spans="2:7" x14ac:dyDescent="0.35">
      <c r="B39" s="7"/>
      <c r="C39" s="7" t="s">
        <v>18</v>
      </c>
      <c r="D39" s="11">
        <f>D38</f>
        <v>15600</v>
      </c>
      <c r="E39" s="146">
        <f>'5 Year Plan'!$D$48/12</f>
        <v>0.41666666666666669</v>
      </c>
      <c r="F39" s="13"/>
      <c r="G39" s="37">
        <f t="shared" si="5"/>
        <v>6500</v>
      </c>
    </row>
    <row r="40" spans="2:7" ht="15" customHeight="1" x14ac:dyDescent="0.35">
      <c r="B40" s="7"/>
      <c r="C40" s="7" t="s">
        <v>17</v>
      </c>
      <c r="D40" s="11">
        <f t="shared" ref="D40:D49" si="6">D39</f>
        <v>15600</v>
      </c>
      <c r="E40" s="146">
        <f>'5 Year Plan'!$D$48/12</f>
        <v>0.41666666666666669</v>
      </c>
      <c r="F40" s="13"/>
      <c r="G40" s="37">
        <f t="shared" si="5"/>
        <v>6500</v>
      </c>
    </row>
    <row r="41" spans="2:7" x14ac:dyDescent="0.35">
      <c r="B41" s="7"/>
      <c r="C41" s="7" t="s">
        <v>16</v>
      </c>
      <c r="D41" s="11">
        <f t="shared" si="6"/>
        <v>15600</v>
      </c>
      <c r="E41" s="146">
        <f>'5 Year Plan'!$D$48/12</f>
        <v>0.41666666666666669</v>
      </c>
      <c r="F41" s="13"/>
      <c r="G41" s="37">
        <f t="shared" si="5"/>
        <v>6500</v>
      </c>
    </row>
    <row r="42" spans="2:7" x14ac:dyDescent="0.35">
      <c r="B42" s="7"/>
      <c r="C42" s="7" t="s">
        <v>15</v>
      </c>
      <c r="D42" s="11">
        <f t="shared" si="6"/>
        <v>15600</v>
      </c>
      <c r="E42" s="146">
        <f>'5 Year Plan'!$D$48/12</f>
        <v>0.41666666666666669</v>
      </c>
      <c r="F42" s="13"/>
      <c r="G42" s="37">
        <f t="shared" si="5"/>
        <v>6500</v>
      </c>
    </row>
    <row r="43" spans="2:7" x14ac:dyDescent="0.35">
      <c r="B43" s="7"/>
      <c r="C43" s="7" t="s">
        <v>14</v>
      </c>
      <c r="D43" s="11">
        <f t="shared" si="6"/>
        <v>15600</v>
      </c>
      <c r="E43" s="146">
        <f>'5 Year Plan'!$D$48/12</f>
        <v>0.41666666666666669</v>
      </c>
      <c r="F43" s="13"/>
      <c r="G43" s="37">
        <f t="shared" si="5"/>
        <v>6500</v>
      </c>
    </row>
    <row r="44" spans="2:7" x14ac:dyDescent="0.35">
      <c r="B44" s="7"/>
      <c r="C44" s="7" t="s">
        <v>13</v>
      </c>
      <c r="D44" s="11">
        <f t="shared" si="6"/>
        <v>15600</v>
      </c>
      <c r="E44" s="146">
        <f>'5 Year Plan'!$D$48/12</f>
        <v>0.41666666666666669</v>
      </c>
      <c r="F44" s="13"/>
      <c r="G44" s="37">
        <f t="shared" si="5"/>
        <v>6500</v>
      </c>
    </row>
    <row r="45" spans="2:7" x14ac:dyDescent="0.35">
      <c r="B45" s="7"/>
      <c r="C45" s="7" t="s">
        <v>21</v>
      </c>
      <c r="D45" s="11">
        <f t="shared" si="6"/>
        <v>15600</v>
      </c>
      <c r="E45" s="146">
        <f>'5 Year Plan'!$D$48/12</f>
        <v>0.41666666666666669</v>
      </c>
      <c r="F45" s="13"/>
      <c r="G45" s="37">
        <f t="shared" si="5"/>
        <v>6500</v>
      </c>
    </row>
    <row r="46" spans="2:7" x14ac:dyDescent="0.35">
      <c r="B46" s="7"/>
      <c r="C46" s="7" t="s">
        <v>22</v>
      </c>
      <c r="D46" s="11">
        <f t="shared" si="6"/>
        <v>15600</v>
      </c>
      <c r="E46" s="146">
        <f>'5 Year Plan'!$D$48/12</f>
        <v>0.41666666666666669</v>
      </c>
      <c r="F46" s="13"/>
      <c r="G46" s="37">
        <f t="shared" si="5"/>
        <v>6500</v>
      </c>
    </row>
    <row r="47" spans="2:7" x14ac:dyDescent="0.35">
      <c r="B47" s="7"/>
      <c r="C47" s="7" t="s">
        <v>25</v>
      </c>
      <c r="D47" s="11">
        <f t="shared" si="6"/>
        <v>15600</v>
      </c>
      <c r="E47" s="146">
        <f>'5 Year Plan'!$D$48/12</f>
        <v>0.41666666666666669</v>
      </c>
      <c r="F47" s="13"/>
      <c r="G47" s="37">
        <f t="shared" si="5"/>
        <v>6500</v>
      </c>
    </row>
    <row r="48" spans="2:7" x14ac:dyDescent="0.35">
      <c r="B48" s="7"/>
      <c r="C48" s="7" t="s">
        <v>20</v>
      </c>
      <c r="D48" s="11">
        <f t="shared" si="6"/>
        <v>15600</v>
      </c>
      <c r="E48" s="146">
        <f>'5 Year Plan'!$D$48/12</f>
        <v>0.41666666666666669</v>
      </c>
      <c r="F48" s="13"/>
      <c r="G48" s="37">
        <f t="shared" si="5"/>
        <v>6500</v>
      </c>
    </row>
    <row r="49" spans="2:7" x14ac:dyDescent="0.35">
      <c r="B49" s="6"/>
      <c r="C49" s="7" t="s">
        <v>12</v>
      </c>
      <c r="D49" s="11">
        <f t="shared" si="6"/>
        <v>15600</v>
      </c>
      <c r="E49" s="146">
        <f>'5 Year Plan'!$D$48/12</f>
        <v>0.41666666666666669</v>
      </c>
      <c r="F49" s="13"/>
      <c r="G49" s="37">
        <f t="shared" si="5"/>
        <v>6500</v>
      </c>
    </row>
    <row r="50" spans="2:7" ht="16.5" x14ac:dyDescent="0.85">
      <c r="B50" s="6"/>
      <c r="C50" s="7" t="s">
        <v>1</v>
      </c>
      <c r="D50" s="11"/>
      <c r="E50" s="15"/>
      <c r="F50" s="13"/>
      <c r="G50" s="40">
        <f>SUM(G38:G49)</f>
        <v>78000</v>
      </c>
    </row>
  </sheetData>
  <sheetProtection password="DEE9" sheet="1" objects="1" scenarios="1" selectLockedCells="1"/>
  <mergeCells count="3">
    <mergeCell ref="D5:G5"/>
    <mergeCell ref="D6:E6"/>
    <mergeCell ref="K5:N5"/>
  </mergeCells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50"/>
  <sheetViews>
    <sheetView showGridLines="0" topLeftCell="J1" zoomScale="75" workbookViewId="0">
      <selection activeCell="Q17" sqref="Q17"/>
    </sheetView>
  </sheetViews>
  <sheetFormatPr defaultRowHeight="12.75" x14ac:dyDescent="0.35"/>
  <cols>
    <col min="1" max="3" width="9.1328125" hidden="1" customWidth="1"/>
    <col min="4" max="6" width="23.73046875" hidden="1" customWidth="1"/>
    <col min="7" max="7" width="2.265625" hidden="1" customWidth="1"/>
    <col min="8" max="8" width="18.73046875" hidden="1" customWidth="1"/>
    <col min="9" max="9" width="9.1328125" hidden="1" customWidth="1"/>
    <col min="12" max="14" width="25.73046875" customWidth="1"/>
    <col min="15" max="15" width="2.265625" customWidth="1"/>
    <col min="16" max="16" width="16.73046875" bestFit="1" customWidth="1"/>
  </cols>
  <sheetData>
    <row r="2" spans="2:16" x14ac:dyDescent="0.35">
      <c r="B2" s="19" t="s">
        <v>31</v>
      </c>
      <c r="J2" s="19" t="s">
        <v>31</v>
      </c>
    </row>
    <row r="4" spans="2:16" ht="13.5" thickBot="1" x14ac:dyDescent="0.45">
      <c r="B4" s="18" t="s">
        <v>29</v>
      </c>
      <c r="C4" s="18"/>
      <c r="D4" s="18"/>
      <c r="E4" s="18"/>
      <c r="F4" s="18"/>
      <c r="G4" s="21"/>
      <c r="H4" s="21"/>
      <c r="J4" s="18" t="s">
        <v>29</v>
      </c>
      <c r="K4" s="18"/>
      <c r="L4" s="18"/>
      <c r="M4" s="18"/>
      <c r="N4" s="18"/>
      <c r="O4" s="21"/>
      <c r="P4" s="21"/>
    </row>
    <row r="5" spans="2:16" x14ac:dyDescent="0.35">
      <c r="L5" s="208"/>
      <c r="M5" s="208"/>
      <c r="N5" s="209"/>
    </row>
    <row r="6" spans="2:16" ht="13.15" x14ac:dyDescent="0.4">
      <c r="D6" s="17" t="s">
        <v>33</v>
      </c>
      <c r="E6" s="17" t="s">
        <v>32</v>
      </c>
      <c r="F6" s="17" t="s">
        <v>57</v>
      </c>
      <c r="H6" s="20" t="s">
        <v>1</v>
      </c>
      <c r="L6" s="10" t="s">
        <v>158</v>
      </c>
      <c r="M6" s="10" t="s">
        <v>159</v>
      </c>
      <c r="N6" s="10" t="str">
        <f>F6</f>
        <v>Source Code Sharing</v>
      </c>
      <c r="P6" s="17" t="s">
        <v>1</v>
      </c>
    </row>
    <row r="7" spans="2:16" x14ac:dyDescent="0.35">
      <c r="D7" s="2"/>
      <c r="E7" s="2"/>
      <c r="F7" s="2"/>
      <c r="G7" s="2"/>
      <c r="H7" s="2"/>
      <c r="L7" s="32"/>
      <c r="M7" s="32"/>
    </row>
    <row r="8" spans="2:16" ht="13.15" x14ac:dyDescent="0.4">
      <c r="B8" s="7">
        <v>2006</v>
      </c>
      <c r="C8" s="7" t="s">
        <v>19</v>
      </c>
      <c r="D8" s="4">
        <f>'Sales Projections_UandC'!X8</f>
        <v>4719.1666666666679</v>
      </c>
      <c r="E8" s="4">
        <f>'Sales Projections_Dist'!X8</f>
        <v>1784.8333333333335</v>
      </c>
      <c r="F8" s="4">
        <f>'Sales Projections_SS'!G8</f>
        <v>2000</v>
      </c>
      <c r="G8" s="2"/>
      <c r="H8" s="4">
        <f>D8+E8+F8</f>
        <v>8504.0000000000018</v>
      </c>
      <c r="J8" s="7">
        <v>2006</v>
      </c>
      <c r="K8" s="1" t="s">
        <v>58</v>
      </c>
      <c r="L8" s="22">
        <f>SUM(D8:D10)</f>
        <v>28315</v>
      </c>
      <c r="M8" s="22">
        <f>SUM(E8:E10)</f>
        <v>10709</v>
      </c>
      <c r="N8" s="22">
        <f>SUM(F8:F10)</f>
        <v>6000</v>
      </c>
      <c r="P8" s="22">
        <f>SUM(L8:N8)</f>
        <v>45024</v>
      </c>
    </row>
    <row r="9" spans="2:16" ht="13.15" x14ac:dyDescent="0.4">
      <c r="B9" s="7"/>
      <c r="C9" s="7" t="s">
        <v>18</v>
      </c>
      <c r="D9" s="4">
        <f>'Sales Projections_UandC'!X9</f>
        <v>9438.3333333333358</v>
      </c>
      <c r="E9" s="4">
        <f>'Sales Projections_Dist'!X9</f>
        <v>3569.666666666667</v>
      </c>
      <c r="F9" s="4">
        <f>'Sales Projections_SS'!G9</f>
        <v>2000</v>
      </c>
      <c r="G9" s="2"/>
      <c r="H9" s="4">
        <f t="shared" ref="H9:H20" si="0">D9+E9+F9</f>
        <v>15008.000000000004</v>
      </c>
      <c r="K9" s="1" t="s">
        <v>59</v>
      </c>
      <c r="L9" s="22">
        <f>SUM(D11:D13)</f>
        <v>66068.333333333343</v>
      </c>
      <c r="M9" s="22">
        <f>SUM(E11:E13)</f>
        <v>24987.666666666672</v>
      </c>
      <c r="N9" s="22">
        <f>SUM(F11:F13)</f>
        <v>6000</v>
      </c>
      <c r="P9" s="22">
        <f>SUM(L9:N9)</f>
        <v>97056.000000000015</v>
      </c>
    </row>
    <row r="10" spans="2:16" ht="13.15" x14ac:dyDescent="0.4">
      <c r="B10" s="7"/>
      <c r="C10" s="7" t="s">
        <v>17</v>
      </c>
      <c r="D10" s="4">
        <f>'Sales Projections_UandC'!X10</f>
        <v>14157.499999999998</v>
      </c>
      <c r="E10" s="4">
        <f>'Sales Projections_Dist'!X10</f>
        <v>5354.5</v>
      </c>
      <c r="F10" s="4">
        <f>'Sales Projections_SS'!G10</f>
        <v>2000</v>
      </c>
      <c r="G10" s="2"/>
      <c r="H10" s="4">
        <f t="shared" si="0"/>
        <v>21512</v>
      </c>
      <c r="J10" s="1">
        <v>2007</v>
      </c>
      <c r="K10" s="1" t="s">
        <v>60</v>
      </c>
      <c r="L10" s="22">
        <f>SUM(D14:D16)</f>
        <v>75506.666666666672</v>
      </c>
      <c r="M10" s="22">
        <f>SUM(E14:E16)</f>
        <v>28557.333333333336</v>
      </c>
      <c r="N10" s="22">
        <f>SUM(F14:F16)</f>
        <v>6000</v>
      </c>
      <c r="P10" s="22">
        <f>SUM(L10:N10)</f>
        <v>110064</v>
      </c>
    </row>
    <row r="11" spans="2:16" ht="13.15" x14ac:dyDescent="0.4">
      <c r="B11" s="7"/>
      <c r="C11" s="7" t="s">
        <v>16</v>
      </c>
      <c r="D11" s="4">
        <f>'Sales Projections_UandC'!X11</f>
        <v>18876.666666666672</v>
      </c>
      <c r="E11" s="4">
        <f>'Sales Projections_Dist'!X11</f>
        <v>7139.3333333333339</v>
      </c>
      <c r="F11" s="4">
        <f>'Sales Projections_SS'!G11</f>
        <v>2000</v>
      </c>
      <c r="G11" s="2"/>
      <c r="H11" s="4">
        <f t="shared" si="0"/>
        <v>28016.000000000007</v>
      </c>
      <c r="J11" s="1"/>
      <c r="K11" s="1" t="s">
        <v>61</v>
      </c>
      <c r="L11" s="22">
        <f>SUM(D17:D19)</f>
        <v>113260</v>
      </c>
      <c r="M11" s="22">
        <f>SUM(E17:E19)</f>
        <v>42836</v>
      </c>
      <c r="N11" s="22">
        <f>SUM(F17:F19)</f>
        <v>6000</v>
      </c>
      <c r="P11" s="22">
        <f>SUM(L11:N11)</f>
        <v>162096</v>
      </c>
    </row>
    <row r="12" spans="2:16" ht="16.5" x14ac:dyDescent="0.85">
      <c r="B12" s="7"/>
      <c r="C12" s="7" t="s">
        <v>15</v>
      </c>
      <c r="D12" s="4">
        <f>'Sales Projections_UandC'!X12</f>
        <v>23595.833333333336</v>
      </c>
      <c r="E12" s="4">
        <f>'Sales Projections_Dist'!X12</f>
        <v>8924.1666666666679</v>
      </c>
      <c r="F12" s="4">
        <f>'Sales Projections_SS'!G12</f>
        <v>2000</v>
      </c>
      <c r="G12" s="2"/>
      <c r="H12" s="4">
        <f t="shared" si="0"/>
        <v>34520</v>
      </c>
      <c r="K12" s="1" t="s">
        <v>1</v>
      </c>
      <c r="L12" s="90">
        <f>SUM(L8:L11)</f>
        <v>283150</v>
      </c>
      <c r="M12" s="90">
        <f>SUM(M8:M11)</f>
        <v>107090</v>
      </c>
      <c r="N12" s="90">
        <f>SUM(N8:N11)</f>
        <v>24000</v>
      </c>
      <c r="O12" s="91"/>
      <c r="P12" s="46">
        <f>SUM(L12:N12)</f>
        <v>414240</v>
      </c>
    </row>
    <row r="13" spans="2:16" x14ac:dyDescent="0.35">
      <c r="B13" s="7"/>
      <c r="C13" s="7" t="s">
        <v>14</v>
      </c>
      <c r="D13" s="4">
        <f>'Sales Projections_UandC'!X13</f>
        <v>23595.833333333336</v>
      </c>
      <c r="E13" s="4">
        <f>'Sales Projections_Dist'!X13</f>
        <v>8924.1666666666679</v>
      </c>
      <c r="F13" s="4">
        <f>'Sales Projections_SS'!G13</f>
        <v>2000</v>
      </c>
      <c r="G13" s="2"/>
      <c r="H13" s="4">
        <f t="shared" si="0"/>
        <v>34520</v>
      </c>
    </row>
    <row r="14" spans="2:16" ht="13.15" x14ac:dyDescent="0.4">
      <c r="B14" s="7"/>
      <c r="C14" s="7" t="s">
        <v>13</v>
      </c>
      <c r="D14" s="4">
        <f>'Sales Projections_UandC'!X14</f>
        <v>23595.833333333336</v>
      </c>
      <c r="E14" s="4">
        <f>'Sales Projections_Dist'!X14</f>
        <v>8924.1666666666679</v>
      </c>
      <c r="F14" s="4">
        <f>'Sales Projections_SS'!G14</f>
        <v>2000</v>
      </c>
      <c r="G14" s="2"/>
      <c r="H14" s="4">
        <f t="shared" si="0"/>
        <v>34520</v>
      </c>
      <c r="K14" s="1" t="s">
        <v>58</v>
      </c>
      <c r="L14" s="22">
        <f>SUM(D23:D25)</f>
        <v>130655.25</v>
      </c>
      <c r="M14" s="22">
        <f>SUM(E23:E25)</f>
        <v>57910.5</v>
      </c>
      <c r="N14" s="22">
        <f>SUM(F23:F25)</f>
        <v>15000</v>
      </c>
      <c r="P14" s="22">
        <f>SUM(L14:N14)</f>
        <v>203565.75</v>
      </c>
    </row>
    <row r="15" spans="2:16" ht="13.15" x14ac:dyDescent="0.4">
      <c r="B15" s="7"/>
      <c r="C15" s="7" t="s">
        <v>21</v>
      </c>
      <c r="D15" s="4">
        <f>'Sales Projections_UandC'!X15</f>
        <v>23595.833333333336</v>
      </c>
      <c r="E15" s="4">
        <f>'Sales Projections_Dist'!X15</f>
        <v>8924.1666666666679</v>
      </c>
      <c r="F15" s="4">
        <f>'Sales Projections_SS'!G15</f>
        <v>2000</v>
      </c>
      <c r="G15" s="2"/>
      <c r="H15" s="4">
        <f t="shared" si="0"/>
        <v>34520</v>
      </c>
      <c r="K15" s="1" t="s">
        <v>59</v>
      </c>
      <c r="L15" s="22">
        <f>SUM(D26:D28)</f>
        <v>145172.5</v>
      </c>
      <c r="M15" s="22">
        <f>SUM(E26:E28)</f>
        <v>64345.000000000007</v>
      </c>
      <c r="N15" s="22">
        <f>SUM(F26:F28)</f>
        <v>15000</v>
      </c>
      <c r="P15" s="22">
        <f>SUM(L15:N15)</f>
        <v>224517.5</v>
      </c>
    </row>
    <row r="16" spans="2:16" ht="13.15" x14ac:dyDescent="0.4">
      <c r="B16" s="7"/>
      <c r="C16" s="7" t="s">
        <v>22</v>
      </c>
      <c r="D16" s="4">
        <f>'Sales Projections_UandC'!X16</f>
        <v>28314.999999999996</v>
      </c>
      <c r="E16" s="4">
        <f>'Sales Projections_Dist'!X16</f>
        <v>10709</v>
      </c>
      <c r="F16" s="4">
        <f>'Sales Projections_SS'!G16</f>
        <v>2000</v>
      </c>
      <c r="G16" s="2"/>
      <c r="H16" s="4">
        <f t="shared" si="0"/>
        <v>41024</v>
      </c>
      <c r="J16" s="1">
        <v>2008</v>
      </c>
      <c r="K16" s="1" t="s">
        <v>60</v>
      </c>
      <c r="L16" s="22">
        <f>SUM(D29:D31)</f>
        <v>145172.5</v>
      </c>
      <c r="M16" s="22">
        <f>SUM(E29:E31)</f>
        <v>64345.000000000007</v>
      </c>
      <c r="N16" s="22">
        <f>SUM(F29:F31)</f>
        <v>15000</v>
      </c>
      <c r="P16" s="22">
        <f>SUM(L16:N16)</f>
        <v>224517.5</v>
      </c>
    </row>
    <row r="17" spans="2:16" ht="13.15" x14ac:dyDescent="0.4">
      <c r="B17" s="7"/>
      <c r="C17" s="7" t="s">
        <v>25</v>
      </c>
      <c r="D17" s="4">
        <f>'Sales Projections_UandC'!X17</f>
        <v>33034.166666666664</v>
      </c>
      <c r="E17" s="4">
        <f>'Sales Projections_Dist'!X17</f>
        <v>12493.833333333332</v>
      </c>
      <c r="F17" s="4">
        <f>'Sales Projections_SS'!G17</f>
        <v>2000</v>
      </c>
      <c r="G17" s="2"/>
      <c r="H17" s="4">
        <f t="shared" si="0"/>
        <v>47528</v>
      </c>
      <c r="K17" s="1" t="s">
        <v>61</v>
      </c>
      <c r="L17" s="22">
        <f>SUM(D32:D34)</f>
        <v>159689.75</v>
      </c>
      <c r="M17" s="22">
        <f>SUM(E32:E34)</f>
        <v>70779.5</v>
      </c>
      <c r="N17" s="22">
        <f>SUM(F32:F34)</f>
        <v>15000</v>
      </c>
      <c r="P17" s="22">
        <f>SUM(L17:N17)</f>
        <v>245469.25</v>
      </c>
    </row>
    <row r="18" spans="2:16" ht="16.5" x14ac:dyDescent="0.85">
      <c r="B18" s="7"/>
      <c r="C18" s="7" t="s">
        <v>20</v>
      </c>
      <c r="D18" s="4">
        <f>'Sales Projections_UandC'!X18</f>
        <v>37753.333333333343</v>
      </c>
      <c r="E18" s="4">
        <f>'Sales Projections_Dist'!X18</f>
        <v>14278.666666666668</v>
      </c>
      <c r="F18" s="4">
        <f>'Sales Projections_SS'!G18</f>
        <v>2000</v>
      </c>
      <c r="G18" s="2"/>
      <c r="H18" s="4">
        <f t="shared" si="0"/>
        <v>54032.000000000015</v>
      </c>
      <c r="K18" s="1" t="s">
        <v>1</v>
      </c>
      <c r="L18" s="90">
        <f>SUM(L14:L17)</f>
        <v>580690</v>
      </c>
      <c r="M18" s="90">
        <f>SUM(M14:M17)</f>
        <v>257380</v>
      </c>
      <c r="N18" s="90">
        <f>SUM(N14:N17)</f>
        <v>60000</v>
      </c>
      <c r="O18" s="91"/>
      <c r="P18" s="46">
        <f>SUM(L18:N18)</f>
        <v>898070</v>
      </c>
    </row>
    <row r="19" spans="2:16" x14ac:dyDescent="0.35">
      <c r="B19" s="7"/>
      <c r="C19" s="7" t="s">
        <v>12</v>
      </c>
      <c r="D19" s="4">
        <f>'Sales Projections_UandC'!X19</f>
        <v>42472.5</v>
      </c>
      <c r="E19" s="4">
        <f>'Sales Projections_Dist'!X19</f>
        <v>16063.5</v>
      </c>
      <c r="F19" s="4">
        <f>'Sales Projections_SS'!G19</f>
        <v>2000</v>
      </c>
      <c r="G19" s="2"/>
      <c r="H19" s="4">
        <f t="shared" si="0"/>
        <v>60536</v>
      </c>
      <c r="P19" s="22"/>
    </row>
    <row r="20" spans="2:16" ht="16.5" x14ac:dyDescent="0.85">
      <c r="B20" s="7"/>
      <c r="C20" s="7" t="s">
        <v>1</v>
      </c>
      <c r="D20" s="43">
        <f>SUM(D8:D19)</f>
        <v>283150</v>
      </c>
      <c r="E20" s="43">
        <f>SUM(E8:E19)</f>
        <v>107090.00000000001</v>
      </c>
      <c r="F20" s="43">
        <f>'Sales Projections_SS'!G20</f>
        <v>24000</v>
      </c>
      <c r="G20" s="2"/>
      <c r="H20" s="33">
        <f t="shared" si="0"/>
        <v>414240</v>
      </c>
      <c r="K20" s="1" t="s">
        <v>58</v>
      </c>
      <c r="L20" s="22">
        <f>SUM(D38:D40)</f>
        <v>173763</v>
      </c>
      <c r="M20" s="22">
        <f>SUM(E38:E40)</f>
        <v>78639.75</v>
      </c>
      <c r="N20" s="22">
        <f>SUM(F38:F40)</f>
        <v>19500</v>
      </c>
      <c r="P20" s="22">
        <f>SUM(L20:N20)</f>
        <v>271902.75</v>
      </c>
    </row>
    <row r="21" spans="2:16" ht="13.15" x14ac:dyDescent="0.4">
      <c r="B21" s="7"/>
      <c r="C21" s="7"/>
      <c r="D21" s="4"/>
      <c r="E21" s="4"/>
      <c r="F21" s="4"/>
      <c r="G21" s="2"/>
      <c r="H21" s="2"/>
      <c r="K21" s="1" t="s">
        <v>59</v>
      </c>
      <c r="L21" s="22">
        <f>SUM(D41:D43)</f>
        <v>193069.99999999997</v>
      </c>
      <c r="M21" s="22">
        <f>SUM(E41:E43)</f>
        <v>87377.5</v>
      </c>
      <c r="N21" s="22">
        <f>SUM(F41:F43)</f>
        <v>19500</v>
      </c>
      <c r="P21" s="22">
        <f>SUM(L21:N21)</f>
        <v>299947.5</v>
      </c>
    </row>
    <row r="22" spans="2:16" ht="13.15" x14ac:dyDescent="0.4">
      <c r="B22" s="7"/>
      <c r="C22" s="7"/>
      <c r="D22" s="4"/>
      <c r="E22" s="4"/>
      <c r="F22" s="4"/>
      <c r="G22" s="2"/>
      <c r="H22" s="2"/>
      <c r="J22" s="1">
        <v>2009</v>
      </c>
      <c r="K22" s="1" t="s">
        <v>60</v>
      </c>
      <c r="L22" s="22">
        <f>SUM(D44:D46)</f>
        <v>193069.99999999997</v>
      </c>
      <c r="M22" s="22">
        <f>SUM(E44:E46)</f>
        <v>87377.5</v>
      </c>
      <c r="N22" s="22">
        <f>SUM(F44:F46)</f>
        <v>19500</v>
      </c>
      <c r="P22" s="22">
        <f>SUM(L22:N22)</f>
        <v>299947.5</v>
      </c>
    </row>
    <row r="23" spans="2:16" ht="13.15" x14ac:dyDescent="0.4">
      <c r="B23" s="7">
        <v>2007</v>
      </c>
      <c r="C23" s="7" t="s">
        <v>19</v>
      </c>
      <c r="D23" s="4">
        <f>'Sales Projections_UandC'!X23</f>
        <v>43551.75</v>
      </c>
      <c r="E23" s="4">
        <f>'Sales Projections_Dist'!X23</f>
        <v>19303.5</v>
      </c>
      <c r="F23" s="4">
        <f>'Sales Projections_SS'!G23</f>
        <v>5000</v>
      </c>
      <c r="G23" s="2"/>
      <c r="H23" s="4">
        <f>D23+E23+F23</f>
        <v>67855.25</v>
      </c>
      <c r="K23" s="1" t="s">
        <v>61</v>
      </c>
      <c r="L23" s="22">
        <f>SUM(D47:D49)</f>
        <v>212377.00000000003</v>
      </c>
      <c r="M23" s="22">
        <f>SUM(E47:E49)</f>
        <v>96115.250000000015</v>
      </c>
      <c r="N23" s="22">
        <f>SUM(F47:F49)</f>
        <v>19500</v>
      </c>
      <c r="P23" s="22">
        <f>SUM(L23:N23)</f>
        <v>327992.25000000006</v>
      </c>
    </row>
    <row r="24" spans="2:16" ht="16.5" x14ac:dyDescent="0.85">
      <c r="B24" s="7"/>
      <c r="C24" s="7" t="s">
        <v>18</v>
      </c>
      <c r="D24" s="4">
        <f>'Sales Projections_UandC'!X24</f>
        <v>43551.75</v>
      </c>
      <c r="E24" s="4">
        <f>'Sales Projections_Dist'!X24</f>
        <v>19303.5</v>
      </c>
      <c r="F24" s="4">
        <f>'Sales Projections_SS'!G24</f>
        <v>5000</v>
      </c>
      <c r="G24" s="2"/>
      <c r="H24" s="4">
        <f t="shared" ref="H24:H35" si="1">D24+E24+F24</f>
        <v>67855.25</v>
      </c>
      <c r="K24" s="1" t="s">
        <v>1</v>
      </c>
      <c r="L24" s="90">
        <f>SUM(L20:L23)</f>
        <v>772280</v>
      </c>
      <c r="M24" s="90">
        <f>SUM(M20:M23)</f>
        <v>349510</v>
      </c>
      <c r="N24" s="90">
        <f>SUM(N20:N23)</f>
        <v>78000</v>
      </c>
      <c r="O24" s="91"/>
      <c r="P24" s="46">
        <f>SUM(L24:N24)</f>
        <v>1199790</v>
      </c>
    </row>
    <row r="25" spans="2:16" x14ac:dyDescent="0.35">
      <c r="B25" s="7"/>
      <c r="C25" s="7" t="s">
        <v>17</v>
      </c>
      <c r="D25" s="4">
        <f>'Sales Projections_UandC'!X25</f>
        <v>43551.75</v>
      </c>
      <c r="E25" s="4">
        <f>'Sales Projections_Dist'!X25</f>
        <v>19303.5</v>
      </c>
      <c r="F25" s="4">
        <f>'Sales Projections_SS'!G25</f>
        <v>5000</v>
      </c>
      <c r="G25" s="2"/>
      <c r="H25" s="4">
        <f t="shared" si="1"/>
        <v>67855.25</v>
      </c>
    </row>
    <row r="26" spans="2:16" x14ac:dyDescent="0.35">
      <c r="B26" s="7"/>
      <c r="C26" s="7" t="s">
        <v>16</v>
      </c>
      <c r="D26" s="4">
        <f>'Sales Projections_UandC'!X26</f>
        <v>48390.833333333328</v>
      </c>
      <c r="E26" s="4">
        <f>'Sales Projections_Dist'!X26</f>
        <v>21448.333333333336</v>
      </c>
      <c r="F26" s="4">
        <f>'Sales Projections_SS'!G26</f>
        <v>5000</v>
      </c>
      <c r="G26" s="2"/>
      <c r="H26" s="4">
        <f t="shared" si="1"/>
        <v>74839.166666666657</v>
      </c>
    </row>
    <row r="27" spans="2:16" x14ac:dyDescent="0.35">
      <c r="B27" s="7"/>
      <c r="C27" s="7" t="s">
        <v>15</v>
      </c>
      <c r="D27" s="4">
        <f>'Sales Projections_UandC'!X27</f>
        <v>48390.833333333328</v>
      </c>
      <c r="E27" s="4">
        <f>'Sales Projections_Dist'!X27</f>
        <v>21448.333333333336</v>
      </c>
      <c r="F27" s="4">
        <f>'Sales Projections_SS'!G27</f>
        <v>5000</v>
      </c>
      <c r="G27" s="2"/>
      <c r="H27" s="4">
        <f t="shared" si="1"/>
        <v>74839.166666666657</v>
      </c>
    </row>
    <row r="28" spans="2:16" x14ac:dyDescent="0.35">
      <c r="B28" s="7"/>
      <c r="C28" s="7" t="s">
        <v>14</v>
      </c>
      <c r="D28" s="4">
        <f>'Sales Projections_UandC'!X28</f>
        <v>48390.833333333328</v>
      </c>
      <c r="E28" s="4">
        <f>'Sales Projections_Dist'!X28</f>
        <v>21448.333333333336</v>
      </c>
      <c r="F28" s="4">
        <f>'Sales Projections_SS'!G28</f>
        <v>5000</v>
      </c>
      <c r="G28" s="2"/>
      <c r="H28" s="4">
        <f t="shared" si="1"/>
        <v>74839.166666666657</v>
      </c>
    </row>
    <row r="29" spans="2:16" x14ac:dyDescent="0.35">
      <c r="B29" s="7"/>
      <c r="C29" s="7" t="s">
        <v>13</v>
      </c>
      <c r="D29" s="4">
        <f>'Sales Projections_UandC'!X29</f>
        <v>48390.833333333328</v>
      </c>
      <c r="E29" s="4">
        <f>'Sales Projections_Dist'!X29</f>
        <v>21448.333333333336</v>
      </c>
      <c r="F29" s="4">
        <f>'Sales Projections_SS'!G29</f>
        <v>5000</v>
      </c>
      <c r="G29" s="2"/>
      <c r="H29" s="4">
        <f t="shared" si="1"/>
        <v>74839.166666666657</v>
      </c>
    </row>
    <row r="30" spans="2:16" x14ac:dyDescent="0.35">
      <c r="B30" s="7"/>
      <c r="C30" s="7" t="s">
        <v>21</v>
      </c>
      <c r="D30" s="4">
        <f>'Sales Projections_UandC'!X30</f>
        <v>48390.833333333328</v>
      </c>
      <c r="E30" s="4">
        <f>'Sales Projections_Dist'!X30</f>
        <v>21448.333333333336</v>
      </c>
      <c r="F30" s="4">
        <f>'Sales Projections_SS'!G30</f>
        <v>5000</v>
      </c>
      <c r="G30" s="2"/>
      <c r="H30" s="4">
        <f t="shared" si="1"/>
        <v>74839.166666666657</v>
      </c>
    </row>
    <row r="31" spans="2:16" x14ac:dyDescent="0.35">
      <c r="B31" s="7"/>
      <c r="C31" s="7" t="s">
        <v>22</v>
      </c>
      <c r="D31" s="4">
        <f>'Sales Projections_UandC'!X31</f>
        <v>48390.833333333328</v>
      </c>
      <c r="E31" s="4">
        <f>'Sales Projections_Dist'!X31</f>
        <v>21448.333333333336</v>
      </c>
      <c r="F31" s="4">
        <f>'Sales Projections_SS'!G31</f>
        <v>5000</v>
      </c>
      <c r="G31" s="2"/>
      <c r="H31" s="4">
        <f t="shared" si="1"/>
        <v>74839.166666666657</v>
      </c>
    </row>
    <row r="32" spans="2:16" x14ac:dyDescent="0.35">
      <c r="B32" s="7"/>
      <c r="C32" s="7" t="s">
        <v>25</v>
      </c>
      <c r="D32" s="4">
        <f>'Sales Projections_UandC'!X32</f>
        <v>53229.916666666672</v>
      </c>
      <c r="E32" s="4">
        <f>'Sales Projections_Dist'!X32</f>
        <v>23593.166666666668</v>
      </c>
      <c r="F32" s="4">
        <f>'Sales Projections_SS'!G32</f>
        <v>5000</v>
      </c>
      <c r="G32" s="2"/>
      <c r="H32" s="4">
        <f t="shared" si="1"/>
        <v>81823.083333333343</v>
      </c>
    </row>
    <row r="33" spans="2:8" x14ac:dyDescent="0.35">
      <c r="B33" s="7"/>
      <c r="C33" s="7" t="s">
        <v>20</v>
      </c>
      <c r="D33" s="4">
        <f>'Sales Projections_UandC'!X33</f>
        <v>53229.916666666672</v>
      </c>
      <c r="E33" s="4">
        <f>'Sales Projections_Dist'!X33</f>
        <v>23593.166666666668</v>
      </c>
      <c r="F33" s="4">
        <f>'Sales Projections_SS'!G33</f>
        <v>5000</v>
      </c>
      <c r="G33" s="2"/>
      <c r="H33" s="4">
        <f t="shared" si="1"/>
        <v>81823.083333333343</v>
      </c>
    </row>
    <row r="34" spans="2:8" x14ac:dyDescent="0.35">
      <c r="B34" s="6"/>
      <c r="C34" s="7" t="s">
        <v>12</v>
      </c>
      <c r="D34" s="4">
        <f>'Sales Projections_UandC'!X34</f>
        <v>53229.916666666672</v>
      </c>
      <c r="E34" s="4">
        <f>'Sales Projections_Dist'!X34</f>
        <v>23593.166666666668</v>
      </c>
      <c r="F34" s="4">
        <f>'Sales Projections_SS'!G34</f>
        <v>5000</v>
      </c>
      <c r="G34" s="2"/>
      <c r="H34" s="92">
        <f t="shared" si="1"/>
        <v>81823.083333333343</v>
      </c>
    </row>
    <row r="35" spans="2:8" ht="16.5" x14ac:dyDescent="0.85">
      <c r="B35" s="6"/>
      <c r="C35" s="7" t="s">
        <v>1</v>
      </c>
      <c r="D35" s="43">
        <f>SUM(D23:D34)</f>
        <v>580689.99999999988</v>
      </c>
      <c r="E35" s="43">
        <f>SUM(E23:E34)</f>
        <v>257380.00000000003</v>
      </c>
      <c r="F35" s="43">
        <f>'Sales Projections_SS'!G35</f>
        <v>60000</v>
      </c>
      <c r="G35" s="2"/>
      <c r="H35" s="33">
        <f t="shared" si="1"/>
        <v>898069.99999999988</v>
      </c>
    </row>
    <row r="36" spans="2:8" x14ac:dyDescent="0.35">
      <c r="D36" s="2"/>
      <c r="E36" s="2"/>
      <c r="F36" s="2"/>
      <c r="G36" s="2"/>
      <c r="H36" s="2"/>
    </row>
    <row r="37" spans="2:8" x14ac:dyDescent="0.35">
      <c r="D37" s="2"/>
      <c r="E37" s="2"/>
      <c r="F37" s="2"/>
      <c r="G37" s="2"/>
      <c r="H37" s="2"/>
    </row>
    <row r="38" spans="2:8" x14ac:dyDescent="0.35">
      <c r="B38" s="7">
        <v>2008</v>
      </c>
      <c r="C38" s="7" t="s">
        <v>19</v>
      </c>
      <c r="D38" s="4">
        <f>'Sales Projections_UandC'!X38</f>
        <v>57921</v>
      </c>
      <c r="E38" s="4">
        <f>'Sales Projections_Dist'!X38</f>
        <v>26213.25</v>
      </c>
      <c r="F38" s="4">
        <f>'Sales Projections_SS'!G38</f>
        <v>6500</v>
      </c>
      <c r="G38" s="2"/>
      <c r="H38" s="4">
        <f>D38+E38+F38</f>
        <v>90634.25</v>
      </c>
    </row>
    <row r="39" spans="2:8" x14ac:dyDescent="0.35">
      <c r="B39" s="7"/>
      <c r="C39" s="7" t="s">
        <v>18</v>
      </c>
      <c r="D39" s="4">
        <f>'Sales Projections_UandC'!X39</f>
        <v>57921</v>
      </c>
      <c r="E39" s="4">
        <f>'Sales Projections_Dist'!X39</f>
        <v>26213.25</v>
      </c>
      <c r="F39" s="4">
        <f>'Sales Projections_SS'!G39</f>
        <v>6500</v>
      </c>
      <c r="G39" s="2"/>
      <c r="H39" s="4">
        <f t="shared" ref="H39:H48" si="2">D39+E39+F39</f>
        <v>90634.25</v>
      </c>
    </row>
    <row r="40" spans="2:8" x14ac:dyDescent="0.35">
      <c r="B40" s="7"/>
      <c r="C40" s="7" t="s">
        <v>17</v>
      </c>
      <c r="D40" s="4">
        <f>'Sales Projections_UandC'!X40</f>
        <v>57921</v>
      </c>
      <c r="E40" s="4">
        <f>'Sales Projections_Dist'!X40</f>
        <v>26213.25</v>
      </c>
      <c r="F40" s="4">
        <f>'Sales Projections_SS'!G40</f>
        <v>6500</v>
      </c>
      <c r="G40" s="2"/>
      <c r="H40" s="4">
        <f t="shared" si="2"/>
        <v>90634.25</v>
      </c>
    </row>
    <row r="41" spans="2:8" x14ac:dyDescent="0.35">
      <c r="B41" s="7"/>
      <c r="C41" s="7" t="s">
        <v>16</v>
      </c>
      <c r="D41" s="4">
        <f>'Sales Projections_UandC'!X41</f>
        <v>64356.666666666657</v>
      </c>
      <c r="E41" s="4">
        <f>'Sales Projections_Dist'!X41</f>
        <v>29125.833333333336</v>
      </c>
      <c r="F41" s="4">
        <f>'Sales Projections_SS'!G41</f>
        <v>6500</v>
      </c>
      <c r="G41" s="2"/>
      <c r="H41" s="4">
        <f t="shared" si="2"/>
        <v>99982.5</v>
      </c>
    </row>
    <row r="42" spans="2:8" x14ac:dyDescent="0.35">
      <c r="B42" s="7"/>
      <c r="C42" s="7" t="s">
        <v>15</v>
      </c>
      <c r="D42" s="4">
        <f>'Sales Projections_UandC'!X42</f>
        <v>64356.666666666657</v>
      </c>
      <c r="E42" s="4">
        <f>'Sales Projections_Dist'!X42</f>
        <v>29125.833333333336</v>
      </c>
      <c r="F42" s="4">
        <f>'Sales Projections_SS'!G42</f>
        <v>6500</v>
      </c>
      <c r="G42" s="2"/>
      <c r="H42" s="4">
        <f t="shared" si="2"/>
        <v>99982.5</v>
      </c>
    </row>
    <row r="43" spans="2:8" x14ac:dyDescent="0.35">
      <c r="B43" s="7"/>
      <c r="C43" s="7" t="s">
        <v>14</v>
      </c>
      <c r="D43" s="4">
        <f>'Sales Projections_UandC'!X43</f>
        <v>64356.666666666657</v>
      </c>
      <c r="E43" s="4">
        <f>'Sales Projections_Dist'!X43</f>
        <v>29125.833333333336</v>
      </c>
      <c r="F43" s="4">
        <f>'Sales Projections_SS'!G43</f>
        <v>6500</v>
      </c>
      <c r="G43" s="2"/>
      <c r="H43" s="4">
        <f t="shared" si="2"/>
        <v>99982.5</v>
      </c>
    </row>
    <row r="44" spans="2:8" x14ac:dyDescent="0.35">
      <c r="B44" s="7"/>
      <c r="C44" s="7" t="s">
        <v>13</v>
      </c>
      <c r="D44" s="4">
        <f>'Sales Projections_UandC'!X44</f>
        <v>64356.666666666657</v>
      </c>
      <c r="E44" s="4">
        <f>'Sales Projections_Dist'!X44</f>
        <v>29125.833333333336</v>
      </c>
      <c r="F44" s="4">
        <f>'Sales Projections_SS'!G44</f>
        <v>6500</v>
      </c>
      <c r="G44" s="2"/>
      <c r="H44" s="4">
        <f t="shared" si="2"/>
        <v>99982.5</v>
      </c>
    </row>
    <row r="45" spans="2:8" x14ac:dyDescent="0.35">
      <c r="B45" s="7"/>
      <c r="C45" s="7" t="s">
        <v>21</v>
      </c>
      <c r="D45" s="4">
        <f>'Sales Projections_UandC'!X45</f>
        <v>64356.666666666657</v>
      </c>
      <c r="E45" s="4">
        <f>'Sales Projections_Dist'!X45</f>
        <v>29125.833333333336</v>
      </c>
      <c r="F45" s="4">
        <f>'Sales Projections_SS'!G45</f>
        <v>6500</v>
      </c>
      <c r="G45" s="2"/>
      <c r="H45" s="4">
        <f t="shared" si="2"/>
        <v>99982.5</v>
      </c>
    </row>
    <row r="46" spans="2:8" x14ac:dyDescent="0.35">
      <c r="B46" s="7"/>
      <c r="C46" s="7" t="s">
        <v>22</v>
      </c>
      <c r="D46" s="4">
        <f>'Sales Projections_UandC'!X46</f>
        <v>64356.666666666657</v>
      </c>
      <c r="E46" s="4">
        <f>'Sales Projections_Dist'!X46</f>
        <v>29125.833333333336</v>
      </c>
      <c r="F46" s="4">
        <f>'Sales Projections_SS'!G46</f>
        <v>6500</v>
      </c>
      <c r="G46" s="2"/>
      <c r="H46" s="4">
        <f t="shared" si="2"/>
        <v>99982.5</v>
      </c>
    </row>
    <row r="47" spans="2:8" x14ac:dyDescent="0.35">
      <c r="B47" s="7"/>
      <c r="C47" s="7" t="s">
        <v>25</v>
      </c>
      <c r="D47" s="4">
        <f>'Sales Projections_UandC'!X47</f>
        <v>70792.333333333343</v>
      </c>
      <c r="E47" s="4">
        <f>'Sales Projections_Dist'!X47</f>
        <v>32038.416666666672</v>
      </c>
      <c r="F47" s="4">
        <f>'Sales Projections_SS'!G47</f>
        <v>6500</v>
      </c>
      <c r="G47" s="2"/>
      <c r="H47" s="4">
        <f t="shared" si="2"/>
        <v>109330.75000000001</v>
      </c>
    </row>
    <row r="48" spans="2:8" x14ac:dyDescent="0.35">
      <c r="B48" s="7"/>
      <c r="C48" s="7" t="s">
        <v>20</v>
      </c>
      <c r="D48" s="4">
        <f>'Sales Projections_UandC'!X48</f>
        <v>70792.333333333343</v>
      </c>
      <c r="E48" s="4">
        <f>'Sales Projections_Dist'!X48</f>
        <v>32038.416666666672</v>
      </c>
      <c r="F48" s="4">
        <f>'Sales Projections_SS'!G48</f>
        <v>6500</v>
      </c>
      <c r="G48" s="2"/>
      <c r="H48" s="4">
        <f t="shared" si="2"/>
        <v>109330.75000000001</v>
      </c>
    </row>
    <row r="49" spans="2:8" x14ac:dyDescent="0.35">
      <c r="B49" s="6"/>
      <c r="C49" s="7" t="s">
        <v>12</v>
      </c>
      <c r="D49" s="4">
        <f>'Sales Projections_UandC'!X49</f>
        <v>70792.333333333343</v>
      </c>
      <c r="E49" s="4">
        <f>'Sales Projections_Dist'!X49</f>
        <v>32038.416666666672</v>
      </c>
      <c r="F49" s="4">
        <f>'Sales Projections_SS'!G49</f>
        <v>6500</v>
      </c>
      <c r="G49" s="2"/>
      <c r="H49" s="4">
        <f>D49+E49+F49</f>
        <v>109330.75000000001</v>
      </c>
    </row>
    <row r="50" spans="2:8" ht="16.5" x14ac:dyDescent="0.85">
      <c r="B50" s="6"/>
      <c r="C50" s="7" t="s">
        <v>1</v>
      </c>
      <c r="D50" s="43">
        <f>SUM(D38:D49)</f>
        <v>772280</v>
      </c>
      <c r="E50" s="43">
        <f>SUM(E38:E49)</f>
        <v>349510.00000000012</v>
      </c>
      <c r="F50" s="43">
        <f>'Sales Projections_SS'!G50</f>
        <v>78000</v>
      </c>
      <c r="G50" s="2"/>
      <c r="H50" s="33">
        <f>D50+E50+F50</f>
        <v>1199790</v>
      </c>
    </row>
  </sheetData>
  <sheetProtection password="DEE9" sheet="1" objects="1" scenarios="1" selectLockedCells="1"/>
  <mergeCells count="1">
    <mergeCell ref="L5:N5"/>
  </mergeCells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I101"/>
  <sheetViews>
    <sheetView showGridLines="0" topLeftCell="B1" zoomScale="75" workbookViewId="0">
      <selection activeCell="AF13" sqref="AF13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customWidth="1"/>
    <col min="31" max="33" width="18.73046875" customWidth="1"/>
    <col min="34" max="34" width="21.1328125" bestFit="1" customWidth="1"/>
  </cols>
  <sheetData>
    <row r="2" spans="2:35" x14ac:dyDescent="0.35">
      <c r="B2" s="24" t="s">
        <v>53</v>
      </c>
    </row>
    <row r="4" spans="2:35" ht="13.5" thickBot="1" x14ac:dyDescent="0.45">
      <c r="B4" s="25" t="s">
        <v>141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Projections_Total'!H8</f>
        <v>8504.0000000000018</v>
      </c>
      <c r="D8" s="30"/>
      <c r="E8" s="30">
        <f>'Sales Projections_Total'!H9</f>
        <v>15008.000000000004</v>
      </c>
      <c r="F8" s="30"/>
      <c r="G8" s="30">
        <f>'Sales Projections_Total'!H10</f>
        <v>21512</v>
      </c>
      <c r="H8" s="30"/>
      <c r="I8" s="30">
        <f>'Sales Projections_Total'!H11</f>
        <v>28016.000000000007</v>
      </c>
      <c r="J8" s="30"/>
      <c r="K8" s="30">
        <f>'Sales Projections_Total'!H12</f>
        <v>34520</v>
      </c>
      <c r="L8" s="30"/>
      <c r="M8" s="30">
        <f>'Sales Projections_Total'!H13</f>
        <v>34520</v>
      </c>
      <c r="N8" s="30"/>
      <c r="O8" s="30">
        <f>'Sales Projections_Total'!H14</f>
        <v>34520</v>
      </c>
      <c r="P8" s="30"/>
      <c r="Q8" s="30">
        <f>'Sales Projections_Total'!H15</f>
        <v>34520</v>
      </c>
      <c r="R8" s="30"/>
      <c r="S8" s="30">
        <f>'Sales Projections_Total'!H16</f>
        <v>41024</v>
      </c>
      <c r="T8" s="30"/>
      <c r="U8" s="30">
        <f>'Sales Projections_Total'!H17</f>
        <v>47528</v>
      </c>
      <c r="V8" s="30"/>
      <c r="W8" s="30">
        <f>'Sales Projections_Total'!H18</f>
        <v>54032.000000000015</v>
      </c>
      <c r="X8" s="30"/>
      <c r="Y8" s="30">
        <f>'Sales Projections_Total'!H19</f>
        <v>60536</v>
      </c>
      <c r="Z8" s="30"/>
      <c r="AA8" s="30">
        <f>SUM(C8:Y8)</f>
        <v>414240</v>
      </c>
      <c r="AD8" s="54" t="s">
        <v>11</v>
      </c>
      <c r="AE8" s="50"/>
      <c r="AF8" s="50"/>
      <c r="AG8" s="50"/>
      <c r="AH8" s="50"/>
    </row>
    <row r="9" spans="2:35" x14ac:dyDescent="0.35"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">
        <v>63</v>
      </c>
      <c r="AE11" s="76"/>
      <c r="AF11" s="152">
        <f>'5 Year Plan'!B100</f>
        <v>189000</v>
      </c>
      <c r="AG11" s="77">
        <f>AF11/12</f>
        <v>15750</v>
      </c>
      <c r="AH11" s="78"/>
    </row>
    <row r="12" spans="2:35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">
        <v>64</v>
      </c>
      <c r="AE12" s="79"/>
      <c r="AF12" s="153">
        <f>'5 Year Plan'!B101</f>
        <v>66000</v>
      </c>
      <c r="AG12" s="60">
        <f>AF12/11</f>
        <v>6000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15750</v>
      </c>
      <c r="D13" s="27"/>
      <c r="E13" s="27">
        <f>C13</f>
        <v>15750</v>
      </c>
      <c r="F13" s="27"/>
      <c r="G13" s="27">
        <f>E13</f>
        <v>15750</v>
      </c>
      <c r="H13" s="27"/>
      <c r="I13" s="27">
        <f>G13</f>
        <v>15750</v>
      </c>
      <c r="J13" s="27"/>
      <c r="K13" s="27">
        <f>I13</f>
        <v>15750</v>
      </c>
      <c r="L13" s="27"/>
      <c r="M13" s="27">
        <f>K13</f>
        <v>15750</v>
      </c>
      <c r="N13" s="27"/>
      <c r="O13" s="27">
        <f>M13</f>
        <v>15750</v>
      </c>
      <c r="P13" s="27"/>
      <c r="Q13" s="27">
        <f>O13</f>
        <v>15750</v>
      </c>
      <c r="R13" s="27"/>
      <c r="S13" s="27">
        <f>Q13</f>
        <v>15750</v>
      </c>
      <c r="T13" s="27"/>
      <c r="U13" s="27">
        <f>S13</f>
        <v>15750</v>
      </c>
      <c r="V13" s="27"/>
      <c r="W13" s="27">
        <f>U13</f>
        <v>15750</v>
      </c>
      <c r="X13" s="27"/>
      <c r="Y13" s="27">
        <f>W13</f>
        <v>15750</v>
      </c>
      <c r="Z13" s="27"/>
      <c r="AA13" s="27">
        <f>SUM(C13:Y13)</f>
        <v>189000</v>
      </c>
      <c r="AD13" s="56" t="s">
        <v>36</v>
      </c>
      <c r="AE13" s="80"/>
      <c r="AF13" s="154">
        <f>'5 Year Plan'!B102</f>
        <v>101250</v>
      </c>
      <c r="AG13" s="63">
        <f>AF13/9</f>
        <v>11250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v>0</v>
      </c>
      <c r="D14" s="27"/>
      <c r="E14" s="27">
        <f>$AF$12/11</f>
        <v>6000</v>
      </c>
      <c r="F14" s="27"/>
      <c r="G14" s="27">
        <f>$AF$12/11</f>
        <v>6000</v>
      </c>
      <c r="H14" s="27"/>
      <c r="I14" s="27">
        <f>$AF$12/11</f>
        <v>6000</v>
      </c>
      <c r="J14" s="27"/>
      <c r="K14" s="27">
        <f>$AF$12/11</f>
        <v>6000</v>
      </c>
      <c r="L14" s="27"/>
      <c r="M14" s="27">
        <f>$AF$12/11</f>
        <v>6000</v>
      </c>
      <c r="N14" s="27"/>
      <c r="O14" s="27">
        <f>$AF$12/11</f>
        <v>6000</v>
      </c>
      <c r="P14" s="27"/>
      <c r="Q14" s="27">
        <f>$AF$12/11</f>
        <v>6000</v>
      </c>
      <c r="R14" s="27"/>
      <c r="S14" s="27">
        <f>$AF$12/11</f>
        <v>6000</v>
      </c>
      <c r="T14" s="27"/>
      <c r="U14" s="27">
        <f>$AF$12/11</f>
        <v>6000</v>
      </c>
      <c r="V14" s="27"/>
      <c r="W14" s="27">
        <f>$AF$12/11</f>
        <v>6000</v>
      </c>
      <c r="X14" s="27"/>
      <c r="Y14" s="27">
        <f>$AF$12/11</f>
        <v>6000</v>
      </c>
      <c r="Z14" s="27"/>
      <c r="AA14" s="27">
        <f>SUM(C14:Y14)</f>
        <v>66000</v>
      </c>
      <c r="AD14" s="50" t="s">
        <v>47</v>
      </c>
      <c r="AE14" s="79"/>
      <c r="AF14" s="60">
        <f>SUM(AF11:AF13)</f>
        <v>356250</v>
      </c>
      <c r="AG14" s="60">
        <f>SUM(AG11:AG13)</f>
        <v>33000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v>0</v>
      </c>
      <c r="D15" s="27"/>
      <c r="E15" s="28">
        <v>0</v>
      </c>
      <c r="F15" s="27"/>
      <c r="G15" s="28">
        <v>0</v>
      </c>
      <c r="H15" s="27"/>
      <c r="I15" s="28">
        <f>$AF$13/9</f>
        <v>11250</v>
      </c>
      <c r="J15" s="27"/>
      <c r="K15" s="28">
        <f>$AF$13/9</f>
        <v>11250</v>
      </c>
      <c r="L15" s="27"/>
      <c r="M15" s="28">
        <f>$AF$13/9</f>
        <v>11250</v>
      </c>
      <c r="N15" s="27"/>
      <c r="O15" s="28">
        <f>$AF$13/9</f>
        <v>11250</v>
      </c>
      <c r="P15" s="27"/>
      <c r="Q15" s="28">
        <f>$AF$13/9</f>
        <v>11250</v>
      </c>
      <c r="R15" s="27"/>
      <c r="S15" s="28">
        <f>$AF$13/9</f>
        <v>11250</v>
      </c>
      <c r="T15" s="27"/>
      <c r="U15" s="28">
        <f>$AF$13/9</f>
        <v>11250</v>
      </c>
      <c r="V15" s="27"/>
      <c r="W15" s="28">
        <f>$AF$13/9</f>
        <v>11250</v>
      </c>
      <c r="X15" s="27"/>
      <c r="Y15" s="28">
        <f>$AF$13/9</f>
        <v>11250</v>
      </c>
      <c r="Z15" s="27"/>
      <c r="AA15" s="28">
        <f>SUM(C15:Y15)</f>
        <v>101250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15750</v>
      </c>
      <c r="D16" s="29"/>
      <c r="E16" s="29">
        <f>SUM(E13:E15)</f>
        <v>21750</v>
      </c>
      <c r="F16" s="29"/>
      <c r="G16" s="29">
        <f>SUM(G13:G15)</f>
        <v>21750</v>
      </c>
      <c r="H16" s="29"/>
      <c r="I16" s="29">
        <f>SUM(I13:I15)</f>
        <v>33000</v>
      </c>
      <c r="J16" s="29"/>
      <c r="K16" s="29">
        <f>SUM(K13:K15)</f>
        <v>33000</v>
      </c>
      <c r="L16" s="29"/>
      <c r="M16" s="29">
        <f>SUM(M13:M15)</f>
        <v>33000</v>
      </c>
      <c r="N16" s="29"/>
      <c r="O16" s="29">
        <f>SUM(O13:O15)</f>
        <v>33000</v>
      </c>
      <c r="P16" s="29"/>
      <c r="Q16" s="29">
        <f>SUM(Q13:Q15)</f>
        <v>33000</v>
      </c>
      <c r="R16" s="29"/>
      <c r="S16" s="29">
        <f>SUM(S13:S15)</f>
        <v>33000</v>
      </c>
      <c r="T16" s="29"/>
      <c r="U16" s="29">
        <f>SUM(U13:U15)</f>
        <v>33000</v>
      </c>
      <c r="V16" s="29"/>
      <c r="W16" s="29">
        <f>SUM(W13:W15)</f>
        <v>33000</v>
      </c>
      <c r="X16" s="29"/>
      <c r="Y16" s="29">
        <f>SUM(Y13:Z15)</f>
        <v>33000</v>
      </c>
      <c r="Z16" s="29"/>
      <c r="AA16" s="29">
        <f>SUM(C16:Y16)</f>
        <v>356250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55">
        <f>'5 Year Plan'!B65</f>
        <v>0.1</v>
      </c>
      <c r="AG17" s="155">
        <f>'5 Year Plan'!B64</f>
        <v>0.3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v>0</v>
      </c>
      <c r="D19" s="27"/>
      <c r="E19" s="27">
        <v>0</v>
      </c>
      <c r="F19" s="27"/>
      <c r="G19" s="27">
        <v>0</v>
      </c>
      <c r="H19" s="27"/>
      <c r="I19" s="27">
        <f>I8*$AF$17*$AG$17</f>
        <v>840.48000000000025</v>
      </c>
      <c r="J19" s="27"/>
      <c r="K19" s="27">
        <f>K8*$AF$17*$AG$17</f>
        <v>1035.5999999999999</v>
      </c>
      <c r="L19" s="27"/>
      <c r="M19" s="27">
        <f>M8*$AF$17*$AG$17</f>
        <v>1035.5999999999999</v>
      </c>
      <c r="N19" s="27"/>
      <c r="O19" s="27">
        <f>O8*$AF$17*$AG$17</f>
        <v>1035.5999999999999</v>
      </c>
      <c r="P19" s="27"/>
      <c r="Q19" s="27">
        <f>Q8*$AF$17*$AG$17</f>
        <v>1035.5999999999999</v>
      </c>
      <c r="R19" s="27"/>
      <c r="S19" s="27">
        <f>S8*$AF$17*$AG$17</f>
        <v>1230.72</v>
      </c>
      <c r="T19" s="27"/>
      <c r="U19" s="27">
        <f>U8*$AF$17*$AG$17</f>
        <v>1425.84</v>
      </c>
      <c r="V19" s="27"/>
      <c r="W19" s="27">
        <f>W8*$AF$17*$AG$17</f>
        <v>1620.9600000000005</v>
      </c>
      <c r="X19" s="27"/>
      <c r="Y19" s="27">
        <f>Y8*$AF$17*$AG$17</f>
        <v>1816.0800000000002</v>
      </c>
      <c r="Z19" s="27"/>
      <c r="AA19" s="27">
        <f>SUM(C19:Y19)</f>
        <v>11076.480000000001</v>
      </c>
      <c r="AD19" s="55" t="s">
        <v>66</v>
      </c>
      <c r="AE19" s="80"/>
      <c r="AF19" s="66" t="s">
        <v>69</v>
      </c>
      <c r="AG19" s="66" t="s">
        <v>68</v>
      </c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SUM(C20:Y20)</f>
        <v>48000</v>
      </c>
      <c r="AD20" s="50" t="s">
        <v>40</v>
      </c>
      <c r="AE20" s="81"/>
      <c r="AF20" s="153">
        <f>'5 Year Plan'!B107</f>
        <v>48000</v>
      </c>
      <c r="AG20" s="60">
        <f>AF20/12</f>
        <v>4000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3333.3333333333335</v>
      </c>
      <c r="D21" s="27"/>
      <c r="E21" s="28">
        <f>C21</f>
        <v>3333.3333333333335</v>
      </c>
      <c r="F21" s="27"/>
      <c r="G21" s="28">
        <f>E21</f>
        <v>3333.3333333333335</v>
      </c>
      <c r="H21" s="27"/>
      <c r="I21" s="28">
        <f>G21</f>
        <v>3333.3333333333335</v>
      </c>
      <c r="J21" s="27"/>
      <c r="K21" s="28">
        <f>I21</f>
        <v>3333.3333333333335</v>
      </c>
      <c r="L21" s="27"/>
      <c r="M21" s="28">
        <f>K21</f>
        <v>3333.3333333333335</v>
      </c>
      <c r="N21" s="27"/>
      <c r="O21" s="28">
        <f>M21</f>
        <v>3333.3333333333335</v>
      </c>
      <c r="P21" s="27"/>
      <c r="Q21" s="28">
        <f>O21</f>
        <v>3333.3333333333335</v>
      </c>
      <c r="R21" s="27"/>
      <c r="S21" s="28">
        <f>Q21</f>
        <v>3333.3333333333335</v>
      </c>
      <c r="T21" s="27"/>
      <c r="U21" s="28">
        <f>S21</f>
        <v>3333.3333333333335</v>
      </c>
      <c r="V21" s="27"/>
      <c r="W21" s="28">
        <f>U21</f>
        <v>3333.3333333333335</v>
      </c>
      <c r="X21" s="27"/>
      <c r="Y21" s="28">
        <f>W21</f>
        <v>3333.3333333333335</v>
      </c>
      <c r="Z21" s="27"/>
      <c r="AA21" s="28">
        <f>SUM(C21:Y21)</f>
        <v>40000</v>
      </c>
      <c r="AD21" s="56" t="s">
        <v>49</v>
      </c>
      <c r="AE21" s="82"/>
      <c r="AF21" s="154">
        <f>'5 Year Plan'!B106</f>
        <v>40000</v>
      </c>
      <c r="AG21" s="63">
        <f>AF21/12</f>
        <v>3333.3333333333335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7333.3333333333339</v>
      </c>
      <c r="D22" s="29"/>
      <c r="E22" s="29">
        <f>SUM(E19:E21)</f>
        <v>7333.3333333333339</v>
      </c>
      <c r="F22" s="29"/>
      <c r="G22" s="29">
        <f>SUM(G19:G21)</f>
        <v>7333.3333333333339</v>
      </c>
      <c r="H22" s="29"/>
      <c r="I22" s="29">
        <f>SUM(I19:I21)</f>
        <v>8173.8133333333335</v>
      </c>
      <c r="J22" s="29"/>
      <c r="K22" s="29">
        <f>SUM(K19:K21)</f>
        <v>8368.9333333333343</v>
      </c>
      <c r="L22" s="29"/>
      <c r="M22" s="29">
        <f>SUM(M19:M21)</f>
        <v>8368.9333333333343</v>
      </c>
      <c r="N22" s="29"/>
      <c r="O22" s="29">
        <f>SUM(O19:O21)</f>
        <v>8368.9333333333343</v>
      </c>
      <c r="P22" s="29"/>
      <c r="Q22" s="29">
        <f>SUM(Q19:Q21)</f>
        <v>8368.9333333333343</v>
      </c>
      <c r="R22" s="29"/>
      <c r="S22" s="29">
        <f>SUM(S19:S21)</f>
        <v>8564.0533333333333</v>
      </c>
      <c r="T22" s="29"/>
      <c r="U22" s="29">
        <f>SUM(U19:U21)</f>
        <v>8759.1733333333341</v>
      </c>
      <c r="V22" s="29"/>
      <c r="W22" s="29">
        <f>SUM(W19:W21)</f>
        <v>8954.2933333333349</v>
      </c>
      <c r="X22" s="29"/>
      <c r="Y22" s="29">
        <f>SUM(Y19:Y21)</f>
        <v>9149.4133333333339</v>
      </c>
      <c r="Z22" s="29"/>
      <c r="AA22" s="29">
        <f>SUM(C22:Y22)</f>
        <v>99076.48000000001</v>
      </c>
      <c r="AD22" s="50" t="s">
        <v>47</v>
      </c>
      <c r="AE22" s="81"/>
      <c r="AF22" s="60">
        <f>SUM(AF20:AF21)</f>
        <v>88000</v>
      </c>
      <c r="AG22" s="60">
        <f>SUM(AG20:AG21)</f>
        <v>7333.3333333333339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0" si="0">AG25</f>
        <v>6000</v>
      </c>
      <c r="D25" s="27"/>
      <c r="E25" s="27">
        <f>C25</f>
        <v>6000</v>
      </c>
      <c r="F25" s="27"/>
      <c r="G25" s="27">
        <f>E25</f>
        <v>6000</v>
      </c>
      <c r="H25" s="27"/>
      <c r="I25" s="27">
        <f>G25</f>
        <v>6000</v>
      </c>
      <c r="J25" s="27"/>
      <c r="K25" s="27">
        <f>I25</f>
        <v>6000</v>
      </c>
      <c r="L25" s="27"/>
      <c r="M25" s="27">
        <f>K25</f>
        <v>6000</v>
      </c>
      <c r="N25" s="27"/>
      <c r="O25" s="27">
        <f>M25</f>
        <v>6000</v>
      </c>
      <c r="P25" s="27"/>
      <c r="Q25" s="27">
        <f>O25</f>
        <v>6000</v>
      </c>
      <c r="R25" s="27"/>
      <c r="S25" s="27">
        <f>Q25</f>
        <v>6000</v>
      </c>
      <c r="T25" s="27"/>
      <c r="U25" s="27">
        <f>S25</f>
        <v>6000</v>
      </c>
      <c r="V25" s="27"/>
      <c r="W25" s="27">
        <f>U25</f>
        <v>6000</v>
      </c>
      <c r="X25" s="27"/>
      <c r="Y25" s="27">
        <f>W25</f>
        <v>6000</v>
      </c>
      <c r="Z25" s="27"/>
      <c r="AA25" s="27">
        <f t="shared" ref="AA25:AA31" si="1">SUM(C25:Y25)</f>
        <v>72000</v>
      </c>
      <c r="AD25" s="50" t="s">
        <v>86</v>
      </c>
      <c r="AE25" s="81"/>
      <c r="AF25" s="153">
        <f>'5 Year Plan'!B109</f>
        <v>72000</v>
      </c>
      <c r="AG25" s="60">
        <f>AF25/12</f>
        <v>6000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0"/>
        <v>2000</v>
      </c>
      <c r="D26" s="27"/>
      <c r="E26" s="27">
        <f t="shared" ref="E26:Y30" si="2">C26</f>
        <v>2000</v>
      </c>
      <c r="F26" s="27"/>
      <c r="G26" s="27">
        <f t="shared" si="2"/>
        <v>2000</v>
      </c>
      <c r="H26" s="27"/>
      <c r="I26" s="27">
        <f t="shared" si="2"/>
        <v>2000</v>
      </c>
      <c r="J26" s="27"/>
      <c r="K26" s="27">
        <f t="shared" si="2"/>
        <v>2000</v>
      </c>
      <c r="L26" s="27"/>
      <c r="M26" s="27">
        <f t="shared" si="2"/>
        <v>2000</v>
      </c>
      <c r="N26" s="27"/>
      <c r="O26" s="27">
        <f t="shared" si="2"/>
        <v>2000</v>
      </c>
      <c r="P26" s="27"/>
      <c r="Q26" s="27">
        <f t="shared" si="2"/>
        <v>2000</v>
      </c>
      <c r="R26" s="27"/>
      <c r="S26" s="27">
        <f t="shared" si="2"/>
        <v>2000</v>
      </c>
      <c r="T26" s="27"/>
      <c r="U26" s="27">
        <f t="shared" si="2"/>
        <v>2000</v>
      </c>
      <c r="V26" s="27"/>
      <c r="W26" s="27">
        <f t="shared" si="2"/>
        <v>2000</v>
      </c>
      <c r="X26" s="27"/>
      <c r="Y26" s="27">
        <f t="shared" si="2"/>
        <v>2000</v>
      </c>
      <c r="Z26" s="27"/>
      <c r="AA26" s="27">
        <f t="shared" si="1"/>
        <v>24000</v>
      </c>
      <c r="AD26" s="50" t="s">
        <v>42</v>
      </c>
      <c r="AE26" s="81"/>
      <c r="AF26" s="153">
        <f>'5 Year Plan'!B110</f>
        <v>24000</v>
      </c>
      <c r="AG26" s="60">
        <f t="shared" ref="AG26:AG31" si="3">AF26/12</f>
        <v>2000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0"/>
        <v>400</v>
      </c>
      <c r="D27" s="27"/>
      <c r="E27" s="27">
        <f t="shared" si="2"/>
        <v>400</v>
      </c>
      <c r="F27" s="27"/>
      <c r="G27" s="27">
        <f t="shared" si="2"/>
        <v>400</v>
      </c>
      <c r="H27" s="27"/>
      <c r="I27" s="27">
        <f t="shared" si="2"/>
        <v>400</v>
      </c>
      <c r="J27" s="27"/>
      <c r="K27" s="27">
        <f t="shared" si="2"/>
        <v>400</v>
      </c>
      <c r="L27" s="27"/>
      <c r="M27" s="27">
        <f t="shared" si="2"/>
        <v>400</v>
      </c>
      <c r="N27" s="27"/>
      <c r="O27" s="27">
        <f t="shared" si="2"/>
        <v>400</v>
      </c>
      <c r="P27" s="27"/>
      <c r="Q27" s="27">
        <f t="shared" si="2"/>
        <v>400</v>
      </c>
      <c r="R27" s="27"/>
      <c r="S27" s="27">
        <f t="shared" si="2"/>
        <v>400</v>
      </c>
      <c r="T27" s="27"/>
      <c r="U27" s="27">
        <f t="shared" si="2"/>
        <v>400</v>
      </c>
      <c r="V27" s="27"/>
      <c r="W27" s="27">
        <f t="shared" si="2"/>
        <v>400</v>
      </c>
      <c r="X27" s="27"/>
      <c r="Y27" s="27">
        <f t="shared" si="2"/>
        <v>400</v>
      </c>
      <c r="Z27" s="27"/>
      <c r="AA27" s="27">
        <f t="shared" si="1"/>
        <v>4800</v>
      </c>
      <c r="AD27" s="50" t="s">
        <v>39</v>
      </c>
      <c r="AE27" s="81"/>
      <c r="AF27" s="153">
        <f>'5 Year Plan'!B111</f>
        <v>4800</v>
      </c>
      <c r="AG27" s="60">
        <f t="shared" si="3"/>
        <v>400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0"/>
        <v>550</v>
      </c>
      <c r="D28" s="27"/>
      <c r="E28" s="27">
        <f t="shared" si="2"/>
        <v>550</v>
      </c>
      <c r="F28" s="27"/>
      <c r="G28" s="27">
        <f t="shared" si="2"/>
        <v>550</v>
      </c>
      <c r="H28" s="27"/>
      <c r="I28" s="27">
        <f t="shared" si="2"/>
        <v>550</v>
      </c>
      <c r="J28" s="27"/>
      <c r="K28" s="27">
        <f t="shared" si="2"/>
        <v>550</v>
      </c>
      <c r="L28" s="27"/>
      <c r="M28" s="27">
        <f t="shared" si="2"/>
        <v>550</v>
      </c>
      <c r="N28" s="27"/>
      <c r="O28" s="27">
        <f t="shared" si="2"/>
        <v>550</v>
      </c>
      <c r="P28" s="27"/>
      <c r="Q28" s="27">
        <f t="shared" si="2"/>
        <v>550</v>
      </c>
      <c r="R28" s="27"/>
      <c r="S28" s="27">
        <f t="shared" si="2"/>
        <v>550</v>
      </c>
      <c r="T28" s="27"/>
      <c r="U28" s="27">
        <f t="shared" si="2"/>
        <v>550</v>
      </c>
      <c r="V28" s="27"/>
      <c r="W28" s="27">
        <f t="shared" si="2"/>
        <v>550</v>
      </c>
      <c r="X28" s="27"/>
      <c r="Y28" s="27">
        <f t="shared" si="2"/>
        <v>550</v>
      </c>
      <c r="Z28" s="27"/>
      <c r="AA28" s="27">
        <f t="shared" si="1"/>
        <v>6600</v>
      </c>
      <c r="AD28" s="50" t="s">
        <v>43</v>
      </c>
      <c r="AE28" s="81"/>
      <c r="AF28" s="153">
        <f>'5 Year Plan'!B112</f>
        <v>6600</v>
      </c>
      <c r="AG28" s="60">
        <f t="shared" si="3"/>
        <v>550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0"/>
        <v>650</v>
      </c>
      <c r="D29" s="27"/>
      <c r="E29" s="27">
        <f t="shared" si="2"/>
        <v>650</v>
      </c>
      <c r="F29" s="27"/>
      <c r="G29" s="27">
        <f t="shared" si="2"/>
        <v>650</v>
      </c>
      <c r="H29" s="27"/>
      <c r="I29" s="27">
        <f t="shared" si="2"/>
        <v>650</v>
      </c>
      <c r="J29" s="27"/>
      <c r="K29" s="27">
        <f t="shared" si="2"/>
        <v>650</v>
      </c>
      <c r="L29" s="27"/>
      <c r="M29" s="27">
        <f t="shared" si="2"/>
        <v>650</v>
      </c>
      <c r="N29" s="27"/>
      <c r="O29" s="27">
        <f t="shared" si="2"/>
        <v>650</v>
      </c>
      <c r="P29" s="27"/>
      <c r="Q29" s="27">
        <f t="shared" si="2"/>
        <v>650</v>
      </c>
      <c r="R29" s="27"/>
      <c r="S29" s="27">
        <f t="shared" si="2"/>
        <v>650</v>
      </c>
      <c r="T29" s="27"/>
      <c r="U29" s="27">
        <f t="shared" si="2"/>
        <v>650</v>
      </c>
      <c r="V29" s="27"/>
      <c r="W29" s="27">
        <f t="shared" si="2"/>
        <v>650</v>
      </c>
      <c r="X29" s="27"/>
      <c r="Y29" s="27">
        <f t="shared" si="2"/>
        <v>650</v>
      </c>
      <c r="Z29" s="27"/>
      <c r="AA29" s="27">
        <f t="shared" si="1"/>
        <v>7800</v>
      </c>
      <c r="AD29" s="50" t="s">
        <v>55</v>
      </c>
      <c r="AE29" s="81"/>
      <c r="AF29" s="153">
        <f>'5 Year Plan'!B113</f>
        <v>7800</v>
      </c>
      <c r="AG29" s="60">
        <f t="shared" si="3"/>
        <v>650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0"/>
        <v>1000</v>
      </c>
      <c r="D30" s="27"/>
      <c r="E30" s="27">
        <f t="shared" si="2"/>
        <v>1000</v>
      </c>
      <c r="F30" s="27"/>
      <c r="G30" s="27">
        <f t="shared" si="2"/>
        <v>1000</v>
      </c>
      <c r="H30" s="27"/>
      <c r="I30" s="27">
        <f t="shared" si="2"/>
        <v>1000</v>
      </c>
      <c r="J30" s="27"/>
      <c r="K30" s="27">
        <f t="shared" si="2"/>
        <v>1000</v>
      </c>
      <c r="L30" s="27"/>
      <c r="M30" s="27">
        <f t="shared" si="2"/>
        <v>1000</v>
      </c>
      <c r="N30" s="27"/>
      <c r="O30" s="27">
        <f t="shared" si="2"/>
        <v>1000</v>
      </c>
      <c r="P30" s="27"/>
      <c r="Q30" s="27">
        <f t="shared" si="2"/>
        <v>1000</v>
      </c>
      <c r="R30" s="27"/>
      <c r="S30" s="27">
        <f t="shared" si="2"/>
        <v>1000</v>
      </c>
      <c r="T30" s="27"/>
      <c r="U30" s="27">
        <f t="shared" si="2"/>
        <v>1000</v>
      </c>
      <c r="V30" s="27"/>
      <c r="W30" s="27">
        <f t="shared" si="2"/>
        <v>1000</v>
      </c>
      <c r="X30" s="27"/>
      <c r="Y30" s="27">
        <f t="shared" si="2"/>
        <v>1000</v>
      </c>
      <c r="Z30" s="27"/>
      <c r="AA30" s="27">
        <f t="shared" si="1"/>
        <v>12000</v>
      </c>
      <c r="AD30" s="50" t="s">
        <v>46</v>
      </c>
      <c r="AE30" s="81"/>
      <c r="AF30" s="153">
        <f>'5 Year Plan'!B114</f>
        <v>12000</v>
      </c>
      <c r="AG30" s="60">
        <f t="shared" si="3"/>
        <v>1000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>C16/(1-$AH$31)-C16</f>
        <v>3937.5</v>
      </c>
      <c r="D31" s="27"/>
      <c r="E31" s="28">
        <f>E16/(1-$AH$31)-E16</f>
        <v>5437.5</v>
      </c>
      <c r="F31" s="27"/>
      <c r="G31" s="28">
        <f>G16/(1-$AH$31)-G16</f>
        <v>5437.5</v>
      </c>
      <c r="H31" s="27"/>
      <c r="I31" s="28">
        <f>I16/(1-$AH$31)-I16</f>
        <v>8250</v>
      </c>
      <c r="J31" s="27"/>
      <c r="K31" s="28">
        <f>K16/(1-$AH$31)-K16</f>
        <v>8250</v>
      </c>
      <c r="L31" s="27"/>
      <c r="M31" s="28">
        <f>M16/(1-$AH$31)-M16</f>
        <v>8250</v>
      </c>
      <c r="N31" s="27"/>
      <c r="O31" s="28">
        <f>O16/(1-$AH$31)-O16</f>
        <v>8250</v>
      </c>
      <c r="P31" s="27"/>
      <c r="Q31" s="28">
        <f>Q16/(1-$AH$31)-Q16</f>
        <v>8250</v>
      </c>
      <c r="R31" s="27"/>
      <c r="S31" s="28">
        <f>S16/(1-$AH$31)-S16</f>
        <v>8250</v>
      </c>
      <c r="T31" s="27"/>
      <c r="U31" s="28">
        <f>U16/(1-$AH$31)-U16</f>
        <v>8250</v>
      </c>
      <c r="V31" s="27"/>
      <c r="W31" s="28">
        <f>W16/(1-$AH$31)-W16</f>
        <v>8250</v>
      </c>
      <c r="X31" s="27"/>
      <c r="Y31" s="28">
        <f>Y16/(1-$AH$31)-Y16</f>
        <v>8250</v>
      </c>
      <c r="Z31" s="27"/>
      <c r="AA31" s="28">
        <f t="shared" si="1"/>
        <v>89062.5</v>
      </c>
      <c r="AD31" s="56" t="s">
        <v>48</v>
      </c>
      <c r="AE31" s="82"/>
      <c r="AF31" s="156">
        <f>'5 Year Plan'!B103</f>
        <v>89062.5</v>
      </c>
      <c r="AG31" s="63">
        <f t="shared" si="3"/>
        <v>7421.875</v>
      </c>
      <c r="AH31" s="157">
        <f>'5 Year Plan'!B62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14537.5</v>
      </c>
      <c r="D32" s="29"/>
      <c r="E32" s="29">
        <f>SUM(E25:E31)</f>
        <v>16037.5</v>
      </c>
      <c r="F32" s="29"/>
      <c r="G32" s="29">
        <f>SUM(G25:G31)</f>
        <v>16037.5</v>
      </c>
      <c r="H32" s="29"/>
      <c r="I32" s="29">
        <f>SUM(I25:I31)</f>
        <v>18850</v>
      </c>
      <c r="J32" s="29"/>
      <c r="K32" s="29">
        <f>SUM(K25:K31)</f>
        <v>18850</v>
      </c>
      <c r="L32" s="29"/>
      <c r="M32" s="29">
        <f>SUM(M25:M31)</f>
        <v>18850</v>
      </c>
      <c r="N32" s="29"/>
      <c r="O32" s="29">
        <f>SUM(O25:O31)</f>
        <v>18850</v>
      </c>
      <c r="P32" s="29"/>
      <c r="Q32" s="29">
        <f>SUM(Q25:Q31)</f>
        <v>18850</v>
      </c>
      <c r="R32" s="29"/>
      <c r="S32" s="29">
        <f>SUM(S25:S31)</f>
        <v>18850</v>
      </c>
      <c r="T32" s="29"/>
      <c r="U32" s="29">
        <f>SUM(U25:U31)</f>
        <v>18850</v>
      </c>
      <c r="V32" s="29"/>
      <c r="W32" s="29">
        <f>SUM(W25:W31)</f>
        <v>18850</v>
      </c>
      <c r="X32" s="29"/>
      <c r="Y32" s="29">
        <f>SUM(Y25:Y31)</f>
        <v>18850</v>
      </c>
      <c r="Z32" s="29"/>
      <c r="AA32" s="29">
        <f>SUM(C32:Y32)</f>
        <v>216262.5</v>
      </c>
      <c r="AD32" s="50" t="s">
        <v>47</v>
      </c>
      <c r="AE32" s="81"/>
      <c r="AF32" s="60">
        <f>SUM(AF25:AF31)</f>
        <v>216262.5</v>
      </c>
      <c r="AG32" s="60">
        <f>SUM(AG25:AG31)</f>
        <v>18021.875</v>
      </c>
      <c r="AH32" s="67"/>
    </row>
    <row r="33" spans="2:35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5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5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158">
        <f>'5 Year Plan'!B128</f>
        <v>22000</v>
      </c>
      <c r="AF35" s="73">
        <f>'5 Year Plan'!B116</f>
        <v>5500</v>
      </c>
      <c r="AG35" s="73">
        <f>AF35/12</f>
        <v>458.33333333333331</v>
      </c>
      <c r="AH35" s="159">
        <f>'5 Year Plan'!C128</f>
        <v>4</v>
      </c>
    </row>
    <row r="36" spans="2:35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4">C36</f>
        <v>166.66666666666666</v>
      </c>
      <c r="F36" s="27"/>
      <c r="G36" s="27">
        <f t="shared" si="4"/>
        <v>166.66666666666666</v>
      </c>
      <c r="H36" s="27"/>
      <c r="I36" s="27">
        <f t="shared" si="4"/>
        <v>166.66666666666666</v>
      </c>
      <c r="J36" s="27"/>
      <c r="K36" s="27">
        <f t="shared" si="4"/>
        <v>166.66666666666666</v>
      </c>
      <c r="L36" s="27"/>
      <c r="M36" s="27">
        <f t="shared" si="4"/>
        <v>166.66666666666666</v>
      </c>
      <c r="N36" s="27"/>
      <c r="O36" s="27">
        <f t="shared" si="4"/>
        <v>166.66666666666666</v>
      </c>
      <c r="P36" s="27"/>
      <c r="Q36" s="27">
        <f t="shared" si="4"/>
        <v>166.66666666666666</v>
      </c>
      <c r="R36" s="27"/>
      <c r="S36" s="27">
        <f t="shared" si="4"/>
        <v>166.66666666666666</v>
      </c>
      <c r="T36" s="27"/>
      <c r="U36" s="27">
        <f t="shared" si="4"/>
        <v>166.66666666666666</v>
      </c>
      <c r="V36" s="27"/>
      <c r="W36" s="27">
        <f t="shared" si="4"/>
        <v>166.66666666666666</v>
      </c>
      <c r="X36" s="27"/>
      <c r="Y36" s="27">
        <f t="shared" si="4"/>
        <v>166.66666666666666</v>
      </c>
      <c r="Z36" s="27"/>
      <c r="AA36" s="27">
        <f>SUM(C36:Y36)</f>
        <v>2000.0000000000002</v>
      </c>
      <c r="AD36" s="50" t="s">
        <v>38</v>
      </c>
      <c r="AE36" s="158">
        <f>'5 Year Plan'!B129</f>
        <v>8000</v>
      </c>
      <c r="AF36" s="60">
        <f>'5 Year Plan'!B117</f>
        <v>2000</v>
      </c>
      <c r="AG36" s="60">
        <f>AF36/12</f>
        <v>166.66666666666666</v>
      </c>
      <c r="AH36" s="159">
        <f>'5 Year Plan'!C129</f>
        <v>4</v>
      </c>
    </row>
    <row r="37" spans="2:35" ht="12.75" customHeight="1" x14ac:dyDescent="0.35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4"/>
        <v>2083.3333333333335</v>
      </c>
      <c r="F37" s="27"/>
      <c r="G37" s="28">
        <f t="shared" si="4"/>
        <v>2083.3333333333335</v>
      </c>
      <c r="H37" s="27"/>
      <c r="I37" s="28">
        <f t="shared" si="4"/>
        <v>2083.3333333333335</v>
      </c>
      <c r="J37" s="27"/>
      <c r="K37" s="28">
        <f t="shared" si="4"/>
        <v>2083.3333333333335</v>
      </c>
      <c r="L37" s="27"/>
      <c r="M37" s="28">
        <f t="shared" si="4"/>
        <v>2083.3333333333335</v>
      </c>
      <c r="N37" s="27"/>
      <c r="O37" s="28">
        <f t="shared" si="4"/>
        <v>2083.3333333333335</v>
      </c>
      <c r="P37" s="27"/>
      <c r="Q37" s="28">
        <f t="shared" si="4"/>
        <v>2083.3333333333335</v>
      </c>
      <c r="R37" s="27"/>
      <c r="S37" s="28">
        <f t="shared" si="4"/>
        <v>2083.3333333333335</v>
      </c>
      <c r="T37" s="27"/>
      <c r="U37" s="28">
        <f t="shared" si="4"/>
        <v>2083.3333333333335</v>
      </c>
      <c r="V37" s="27"/>
      <c r="W37" s="28">
        <f t="shared" si="4"/>
        <v>2083.3333333333335</v>
      </c>
      <c r="X37" s="27"/>
      <c r="Y37" s="28">
        <f t="shared" si="4"/>
        <v>2083.3333333333335</v>
      </c>
      <c r="Z37" s="27"/>
      <c r="AA37" s="28">
        <f>SUM(C37:Y37)</f>
        <v>24999.999999999996</v>
      </c>
      <c r="AD37" s="56" t="s">
        <v>37</v>
      </c>
      <c r="AE37" s="160">
        <f>'5 Year Plan'!B130</f>
        <v>50000</v>
      </c>
      <c r="AF37" s="63">
        <f>'5 Year Plan'!B118</f>
        <v>25000</v>
      </c>
      <c r="AG37" s="63">
        <f>AF37/12</f>
        <v>2083.3333333333335</v>
      </c>
      <c r="AH37" s="161">
        <f>'5 Year Plan'!C130</f>
        <v>2</v>
      </c>
    </row>
    <row r="38" spans="2:35" ht="14.65" x14ac:dyDescent="0.6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5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5" ht="14.65" x14ac:dyDescent="0.6">
      <c r="B40" s="9" t="s">
        <v>51</v>
      </c>
      <c r="C40" s="29">
        <f>C16+C22+C32+C38</f>
        <v>40329.166666666672</v>
      </c>
      <c r="D40" s="29"/>
      <c r="E40" s="29">
        <f>E16+E22+E32+E38</f>
        <v>47829.166666666672</v>
      </c>
      <c r="F40" s="29"/>
      <c r="G40" s="29">
        <f>G16+G22+G32+G38</f>
        <v>47829.166666666672</v>
      </c>
      <c r="H40" s="29"/>
      <c r="I40" s="29">
        <f>I16+I22+I32+I38</f>
        <v>62732.146666666667</v>
      </c>
      <c r="J40" s="29"/>
      <c r="K40" s="29">
        <f>K16+K22+K32+K38</f>
        <v>62927.26666666667</v>
      </c>
      <c r="L40" s="29"/>
      <c r="M40" s="29">
        <f>M16+M22+M32+M38</f>
        <v>62927.26666666667</v>
      </c>
      <c r="N40" s="29"/>
      <c r="O40" s="29">
        <f>O16+O22+O32+O38</f>
        <v>62927.26666666667</v>
      </c>
      <c r="P40" s="29"/>
      <c r="Q40" s="29">
        <f>Q16+Q22+Q32+Q38</f>
        <v>62927.26666666667</v>
      </c>
      <c r="R40" s="29"/>
      <c r="S40" s="29">
        <f>S16+S22+S32+S38</f>
        <v>63122.386666666665</v>
      </c>
      <c r="T40" s="29"/>
      <c r="U40" s="29">
        <f>U16+U22+U32+U38</f>
        <v>63317.506666666668</v>
      </c>
      <c r="V40" s="29"/>
      <c r="W40" s="29">
        <f>W16+W22+W32+W38</f>
        <v>63512.626666666671</v>
      </c>
      <c r="X40" s="29"/>
      <c r="Y40" s="29">
        <f>Y16+Y22+Y32+Y38</f>
        <v>63707.746666666666</v>
      </c>
      <c r="Z40" s="29"/>
      <c r="AA40" s="29">
        <f>SUM(C40:Y40)</f>
        <v>704088.9800000001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5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158">
        <f>'5 Year Plan'!B134</f>
        <v>200000</v>
      </c>
      <c r="AF41" s="60">
        <f>'5 Year Plan'!B119</f>
        <v>20000</v>
      </c>
      <c r="AG41" s="60">
        <f>AF41/12</f>
        <v>1666.6666666666667</v>
      </c>
      <c r="AH41" s="162" t="e">
        <f>'5 Year Plan'!#REF!</f>
        <v>#REF!</v>
      </c>
    </row>
    <row r="42" spans="2:35" ht="13.5" x14ac:dyDescent="0.45">
      <c r="B42" s="9" t="s">
        <v>5</v>
      </c>
      <c r="C42" s="30">
        <f>C8-C40</f>
        <v>-31825.166666666672</v>
      </c>
      <c r="D42" s="30"/>
      <c r="E42" s="30">
        <f>E8-E40</f>
        <v>-32821.166666666672</v>
      </c>
      <c r="F42" s="30"/>
      <c r="G42" s="30">
        <f>G8-G40</f>
        <v>-26317.166666666672</v>
      </c>
      <c r="H42" s="30"/>
      <c r="I42" s="30">
        <f>I8-I40</f>
        <v>-34716.14666666666</v>
      </c>
      <c r="J42" s="30"/>
      <c r="K42" s="30">
        <f>K8-K40</f>
        <v>-28407.26666666667</v>
      </c>
      <c r="L42" s="30"/>
      <c r="M42" s="30">
        <f>M8-M40</f>
        <v>-28407.26666666667</v>
      </c>
      <c r="N42" s="30"/>
      <c r="O42" s="30">
        <f>O8-O40</f>
        <v>-28407.26666666667</v>
      </c>
      <c r="P42" s="30"/>
      <c r="Q42" s="30">
        <f>Q8-Q40</f>
        <v>-28407.26666666667</v>
      </c>
      <c r="R42" s="30"/>
      <c r="S42" s="30">
        <f>S8-S40</f>
        <v>-22098.386666666665</v>
      </c>
      <c r="T42" s="30"/>
      <c r="U42" s="30">
        <f>U8-U40</f>
        <v>-15789.506666666668</v>
      </c>
      <c r="V42" s="30"/>
      <c r="W42" s="30">
        <f>W8-W40</f>
        <v>-9480.6266666666561</v>
      </c>
      <c r="X42" s="30"/>
      <c r="Y42" s="30">
        <f>Y8-Y40</f>
        <v>-3171.746666666666</v>
      </c>
      <c r="Z42" s="30"/>
      <c r="AA42" s="30">
        <f>AA8-AA40</f>
        <v>-289848.9800000001</v>
      </c>
      <c r="AE42" s="163"/>
      <c r="AF42" s="164"/>
      <c r="AG42" s="164"/>
      <c r="AH42" s="165"/>
    </row>
    <row r="43" spans="2:35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  <c r="AI43" s="2"/>
    </row>
    <row r="44" spans="2:35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Plan'!B81</f>
        <v>0.3</v>
      </c>
      <c r="AG44" s="171"/>
      <c r="AH44" s="172"/>
    </row>
    <row r="45" spans="2:35" ht="13.5" x14ac:dyDescent="0.45">
      <c r="B45" s="9" t="s">
        <v>99</v>
      </c>
      <c r="C45" s="42">
        <f>C42-C43</f>
        <v>-33491.833333333336</v>
      </c>
      <c r="D45" s="42"/>
      <c r="E45" s="42">
        <f>E42-E43</f>
        <v>-34487.833333333336</v>
      </c>
      <c r="F45" s="42"/>
      <c r="G45" s="42">
        <f>G42-G43</f>
        <v>-27983.833333333339</v>
      </c>
      <c r="H45" s="42"/>
      <c r="I45" s="42">
        <f>I42-I43</f>
        <v>-36382.813333333324</v>
      </c>
      <c r="J45" s="42"/>
      <c r="K45" s="42">
        <f>K42-K43</f>
        <v>-30073.933333333338</v>
      </c>
      <c r="L45" s="42"/>
      <c r="M45" s="42">
        <f>M42-M43</f>
        <v>-30073.933333333338</v>
      </c>
      <c r="N45" s="42"/>
      <c r="O45" s="42">
        <f>O42-O43</f>
        <v>-30073.933333333338</v>
      </c>
      <c r="P45" s="42"/>
      <c r="Q45" s="42">
        <f>Q42-Q43</f>
        <v>-30073.933333333338</v>
      </c>
      <c r="R45" s="42"/>
      <c r="S45" s="42">
        <f>S42-S43</f>
        <v>-23765.053333333333</v>
      </c>
      <c r="T45" s="42"/>
      <c r="U45" s="42">
        <f>U42-U43</f>
        <v>-17456.173333333336</v>
      </c>
      <c r="V45" s="42"/>
      <c r="W45" s="42">
        <f>W42-W43</f>
        <v>-11147.293333333322</v>
      </c>
      <c r="X45" s="42"/>
      <c r="Y45" s="42">
        <f>Y42-Y43</f>
        <v>-4838.413333333333</v>
      </c>
      <c r="Z45" s="30"/>
      <c r="AA45" s="42">
        <f>AA42-AA43</f>
        <v>-309848.9800000001</v>
      </c>
    </row>
    <row r="46" spans="2:35" ht="14.65" x14ac:dyDescent="0.6">
      <c r="B46" s="9" t="s">
        <v>100</v>
      </c>
      <c r="C46" s="29">
        <f t="shared" ref="C46:Z46" si="5">C45*$AF$44</f>
        <v>-10047.550000000001</v>
      </c>
      <c r="D46" s="27">
        <f t="shared" si="5"/>
        <v>0</v>
      </c>
      <c r="E46" s="29">
        <f t="shared" si="5"/>
        <v>-10346.35</v>
      </c>
      <c r="F46" s="27">
        <f t="shared" si="5"/>
        <v>0</v>
      </c>
      <c r="G46" s="29">
        <f t="shared" si="5"/>
        <v>-8395.1500000000015</v>
      </c>
      <c r="H46" s="27">
        <f t="shared" si="5"/>
        <v>0</v>
      </c>
      <c r="I46" s="29">
        <f t="shared" si="5"/>
        <v>-10914.843999999997</v>
      </c>
      <c r="J46" s="27">
        <f t="shared" si="5"/>
        <v>0</v>
      </c>
      <c r="K46" s="29">
        <f t="shared" si="5"/>
        <v>-9022.18</v>
      </c>
      <c r="L46" s="27">
        <f t="shared" si="5"/>
        <v>0</v>
      </c>
      <c r="M46" s="29">
        <f t="shared" si="5"/>
        <v>-9022.18</v>
      </c>
      <c r="N46" s="27">
        <f t="shared" si="5"/>
        <v>0</v>
      </c>
      <c r="O46" s="29">
        <f t="shared" si="5"/>
        <v>-9022.18</v>
      </c>
      <c r="P46" s="27">
        <f t="shared" si="5"/>
        <v>0</v>
      </c>
      <c r="Q46" s="29">
        <f t="shared" si="5"/>
        <v>-9022.18</v>
      </c>
      <c r="R46" s="27">
        <f t="shared" si="5"/>
        <v>0</v>
      </c>
      <c r="S46" s="29">
        <f t="shared" si="5"/>
        <v>-7129.5159999999996</v>
      </c>
      <c r="T46" s="27">
        <f t="shared" si="5"/>
        <v>0</v>
      </c>
      <c r="U46" s="29">
        <f t="shared" si="5"/>
        <v>-5236.8520000000008</v>
      </c>
      <c r="V46" s="27">
        <f t="shared" si="5"/>
        <v>0</v>
      </c>
      <c r="W46" s="29">
        <f t="shared" si="5"/>
        <v>-3344.1879999999965</v>
      </c>
      <c r="X46" s="27">
        <f t="shared" si="5"/>
        <v>0</v>
      </c>
      <c r="Y46" s="29">
        <f t="shared" si="5"/>
        <v>-1451.5239999999999</v>
      </c>
      <c r="Z46" s="27">
        <f t="shared" si="5"/>
        <v>0</v>
      </c>
      <c r="AA46" s="29">
        <f>SUM(C46:Y46)</f>
        <v>-92954.694000000003</v>
      </c>
      <c r="AF46" s="22"/>
    </row>
    <row r="47" spans="2:35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F47" s="22"/>
    </row>
    <row r="48" spans="2:35" ht="13.5" x14ac:dyDescent="0.45">
      <c r="B48" s="9" t="s">
        <v>52</v>
      </c>
      <c r="C48" s="42">
        <f>C45-C46</f>
        <v>-23444.283333333333</v>
      </c>
      <c r="D48" s="42">
        <f t="shared" ref="D48:Z48" si="6">D45-D46</f>
        <v>0</v>
      </c>
      <c r="E48" s="42">
        <f t="shared" si="6"/>
        <v>-24141.483333333337</v>
      </c>
      <c r="F48" s="42">
        <f t="shared" si="6"/>
        <v>0</v>
      </c>
      <c r="G48" s="42">
        <f t="shared" si="6"/>
        <v>-19588.683333333338</v>
      </c>
      <c r="H48" s="42">
        <f t="shared" si="6"/>
        <v>0</v>
      </c>
      <c r="I48" s="42">
        <f t="shared" si="6"/>
        <v>-25467.969333333327</v>
      </c>
      <c r="J48" s="42">
        <f t="shared" si="6"/>
        <v>0</v>
      </c>
      <c r="K48" s="42">
        <f t="shared" si="6"/>
        <v>-21051.753333333338</v>
      </c>
      <c r="L48" s="42">
        <f t="shared" si="6"/>
        <v>0</v>
      </c>
      <c r="M48" s="42">
        <f t="shared" si="6"/>
        <v>-21051.753333333338</v>
      </c>
      <c r="N48" s="42">
        <f t="shared" si="6"/>
        <v>0</v>
      </c>
      <c r="O48" s="42">
        <f t="shared" si="6"/>
        <v>-21051.753333333338</v>
      </c>
      <c r="P48" s="42">
        <f t="shared" si="6"/>
        <v>0</v>
      </c>
      <c r="Q48" s="42">
        <f t="shared" si="6"/>
        <v>-21051.753333333338</v>
      </c>
      <c r="R48" s="42">
        <f t="shared" si="6"/>
        <v>0</v>
      </c>
      <c r="S48" s="42">
        <f t="shared" si="6"/>
        <v>-16635.537333333334</v>
      </c>
      <c r="T48" s="42">
        <f t="shared" si="6"/>
        <v>0</v>
      </c>
      <c r="U48" s="42">
        <f t="shared" si="6"/>
        <v>-12219.321333333335</v>
      </c>
      <c r="V48" s="42">
        <f t="shared" si="6"/>
        <v>0</v>
      </c>
      <c r="W48" s="42">
        <f t="shared" si="6"/>
        <v>-7803.1053333333257</v>
      </c>
      <c r="X48" s="42">
        <f t="shared" si="6"/>
        <v>0</v>
      </c>
      <c r="Y48" s="42">
        <f t="shared" si="6"/>
        <v>-3386.8893333333331</v>
      </c>
      <c r="Z48" s="42">
        <f t="shared" si="6"/>
        <v>0</v>
      </c>
      <c r="AA48" s="42">
        <f>SUM(C48:Y48)</f>
        <v>-216894.28599999999</v>
      </c>
    </row>
    <row r="50" spans="2:32" x14ac:dyDescent="0.35">
      <c r="B50" s="7" t="s">
        <v>92</v>
      </c>
      <c r="AF50" s="22"/>
    </row>
    <row r="51" spans="2:32" x14ac:dyDescent="0.35">
      <c r="B51" s="9" t="str">
        <f>CONCATENATE("Commission Salesperson: ",AF17*100,"%","; Share of Sales: ",AG17*100,"%")</f>
        <v>Commission Salesperson: 10%; Share of Sales: 30%</v>
      </c>
    </row>
    <row r="52" spans="2:32" x14ac:dyDescent="0.35">
      <c r="B52" s="9" t="str">
        <f>CONCATENATE("Share Employee Benefits of Total Salaries: ",AH31*100,"%")</f>
        <v>Share Employee Benefits of Total Salaries: 20%</v>
      </c>
    </row>
    <row r="53" spans="2:32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2" x14ac:dyDescent="0.35">
      <c r="B54" s="9" t="e">
        <f>CONCATENATE("Interest rate for 2 year bank loan: ",AH41*100," %")</f>
        <v>#REF!</v>
      </c>
    </row>
    <row r="55" spans="2:32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  <c r="AG76" t="s">
        <v>68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21600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I101"/>
  <sheetViews>
    <sheetView showGridLines="0" topLeftCell="B1" zoomScale="75" workbookViewId="0">
      <selection activeCell="AF12" sqref="AF12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bestFit="1" customWidth="1"/>
    <col min="31" max="33" width="18.73046875" customWidth="1"/>
    <col min="34" max="34" width="21.1328125" bestFit="1" customWidth="1"/>
  </cols>
  <sheetData>
    <row r="2" spans="2:35" x14ac:dyDescent="0.35">
      <c r="B2" s="24" t="s">
        <v>54</v>
      </c>
    </row>
    <row r="4" spans="2:35" ht="13.5" thickBot="1" x14ac:dyDescent="0.45">
      <c r="B4" s="25" t="s">
        <v>140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Projections_Total'!H23</f>
        <v>67855.25</v>
      </c>
      <c r="D8" s="30"/>
      <c r="E8" s="30">
        <f>'Sales Projections_Total'!H24</f>
        <v>67855.25</v>
      </c>
      <c r="F8" s="30"/>
      <c r="G8" s="30">
        <f>'Sales Projections_Total'!H25</f>
        <v>67855.25</v>
      </c>
      <c r="H8" s="30"/>
      <c r="I8" s="30">
        <f>'Sales Projections_Total'!H26</f>
        <v>74839.166666666657</v>
      </c>
      <c r="J8" s="30"/>
      <c r="K8" s="30">
        <f>'Sales Projections_Total'!H27</f>
        <v>74839.166666666657</v>
      </c>
      <c r="L8" s="30"/>
      <c r="M8" s="30">
        <f>'Sales Projections_Total'!H28</f>
        <v>74839.166666666657</v>
      </c>
      <c r="N8" s="30"/>
      <c r="O8" s="30">
        <f>'Sales Projections_Total'!H29</f>
        <v>74839.166666666657</v>
      </c>
      <c r="P8" s="30"/>
      <c r="Q8" s="30">
        <f>'Sales Projections_Total'!H30</f>
        <v>74839.166666666657</v>
      </c>
      <c r="R8" s="30"/>
      <c r="S8" s="30">
        <f>'Sales Projections_Total'!H31</f>
        <v>74839.166666666657</v>
      </c>
      <c r="T8" s="30"/>
      <c r="U8" s="30">
        <f>'Sales Projections_Total'!H32</f>
        <v>81823.083333333343</v>
      </c>
      <c r="V8" s="30"/>
      <c r="W8" s="30">
        <f>'Sales Projections_Total'!H33</f>
        <v>81823.083333333343</v>
      </c>
      <c r="X8" s="30"/>
      <c r="Y8" s="30">
        <f>'Sales Projections_Total'!H34</f>
        <v>81823.083333333343</v>
      </c>
      <c r="Z8" s="30"/>
      <c r="AA8" s="30">
        <f>SUM(C8:Y8)</f>
        <v>898069.99999999988</v>
      </c>
      <c r="AD8" s="54" t="s">
        <v>89</v>
      </c>
      <c r="AE8" s="50"/>
      <c r="AF8" s="50"/>
      <c r="AG8" s="50"/>
      <c r="AH8" s="50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Plan'!C100</f>
        <v>196560</v>
      </c>
      <c r="AG11" s="77">
        <f>AF11/12</f>
        <v>16380</v>
      </c>
      <c r="AH11" s="78"/>
    </row>
    <row r="12" spans="2:35" ht="12" customHeight="1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Plan'!C101</f>
        <v>74580</v>
      </c>
      <c r="AG12" s="60">
        <f>AF12/12</f>
        <v>6215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16380</v>
      </c>
      <c r="D13" s="27"/>
      <c r="E13" s="27">
        <f>C13</f>
        <v>16380</v>
      </c>
      <c r="F13" s="27"/>
      <c r="G13" s="27">
        <f>E13</f>
        <v>16380</v>
      </c>
      <c r="H13" s="27"/>
      <c r="I13" s="27">
        <f>G13</f>
        <v>16380</v>
      </c>
      <c r="J13" s="27"/>
      <c r="K13" s="27">
        <f>I13</f>
        <v>16380</v>
      </c>
      <c r="L13" s="27"/>
      <c r="M13" s="27">
        <f>K13</f>
        <v>16380</v>
      </c>
      <c r="N13" s="27"/>
      <c r="O13" s="27">
        <f>M13</f>
        <v>16380</v>
      </c>
      <c r="P13" s="27"/>
      <c r="Q13" s="27">
        <f>O13</f>
        <v>16380</v>
      </c>
      <c r="R13" s="27"/>
      <c r="S13" s="27">
        <f>Q13</f>
        <v>16380</v>
      </c>
      <c r="T13" s="27"/>
      <c r="U13" s="27">
        <f>S13</f>
        <v>16380</v>
      </c>
      <c r="V13" s="27"/>
      <c r="W13" s="27">
        <f>U13</f>
        <v>16380</v>
      </c>
      <c r="X13" s="27"/>
      <c r="Y13" s="27">
        <f>W13</f>
        <v>16380</v>
      </c>
      <c r="Z13" s="27"/>
      <c r="AA13" s="27">
        <f>SUM(C13:Y13)</f>
        <v>196560</v>
      </c>
      <c r="AD13" s="56" t="str">
        <f>'Income Statem_2006'!AD13</f>
        <v>Salesperson</v>
      </c>
      <c r="AE13" s="80"/>
      <c r="AF13" s="154">
        <f>'5 Year Plan'!C102</f>
        <v>138710</v>
      </c>
      <c r="AG13" s="63">
        <f>AF13/12</f>
        <v>11559.166666666666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f>AG12</f>
        <v>6215</v>
      </c>
      <c r="D14" s="27"/>
      <c r="E14" s="27">
        <f t="shared" ref="E14:Y15" si="0">C14</f>
        <v>6215</v>
      </c>
      <c r="F14" s="27"/>
      <c r="G14" s="27">
        <f t="shared" si="0"/>
        <v>6215</v>
      </c>
      <c r="H14" s="27"/>
      <c r="I14" s="27">
        <f t="shared" si="0"/>
        <v>6215</v>
      </c>
      <c r="J14" s="27"/>
      <c r="K14" s="27">
        <f t="shared" si="0"/>
        <v>6215</v>
      </c>
      <c r="L14" s="27"/>
      <c r="M14" s="27">
        <f t="shared" si="0"/>
        <v>6215</v>
      </c>
      <c r="N14" s="27"/>
      <c r="O14" s="27">
        <f t="shared" si="0"/>
        <v>6215</v>
      </c>
      <c r="P14" s="27"/>
      <c r="Q14" s="27">
        <f t="shared" si="0"/>
        <v>6215</v>
      </c>
      <c r="R14" s="27"/>
      <c r="S14" s="27">
        <f t="shared" si="0"/>
        <v>6215</v>
      </c>
      <c r="T14" s="27"/>
      <c r="U14" s="27">
        <f t="shared" si="0"/>
        <v>6215</v>
      </c>
      <c r="V14" s="27"/>
      <c r="W14" s="27">
        <f t="shared" si="0"/>
        <v>6215</v>
      </c>
      <c r="X14" s="27"/>
      <c r="Y14" s="27">
        <f t="shared" si="0"/>
        <v>6215</v>
      </c>
      <c r="Z14" s="27"/>
      <c r="AA14" s="27">
        <f>SUM(C14:Y14)</f>
        <v>74580</v>
      </c>
      <c r="AD14" s="50" t="s">
        <v>47</v>
      </c>
      <c r="AE14" s="79"/>
      <c r="AF14" s="60">
        <f>SUM(AF11:AF13)</f>
        <v>409850</v>
      </c>
      <c r="AG14" s="60">
        <f>SUM(AG11:AG13)</f>
        <v>34154.166666666664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f>AG13</f>
        <v>11559.166666666666</v>
      </c>
      <c r="D15" s="27"/>
      <c r="E15" s="28">
        <f t="shared" si="0"/>
        <v>11559.166666666666</v>
      </c>
      <c r="F15" s="27"/>
      <c r="G15" s="28">
        <f t="shared" si="0"/>
        <v>11559.166666666666</v>
      </c>
      <c r="H15" s="27"/>
      <c r="I15" s="28">
        <f t="shared" si="0"/>
        <v>11559.166666666666</v>
      </c>
      <c r="J15" s="27"/>
      <c r="K15" s="28">
        <f t="shared" si="0"/>
        <v>11559.166666666666</v>
      </c>
      <c r="L15" s="27"/>
      <c r="M15" s="28">
        <f t="shared" si="0"/>
        <v>11559.166666666666</v>
      </c>
      <c r="N15" s="27"/>
      <c r="O15" s="28">
        <f t="shared" si="0"/>
        <v>11559.166666666666</v>
      </c>
      <c r="P15" s="27"/>
      <c r="Q15" s="28">
        <f t="shared" si="0"/>
        <v>11559.166666666666</v>
      </c>
      <c r="R15" s="27"/>
      <c r="S15" s="28">
        <f t="shared" si="0"/>
        <v>11559.166666666666</v>
      </c>
      <c r="T15" s="27"/>
      <c r="U15" s="28">
        <f t="shared" si="0"/>
        <v>11559.166666666666</v>
      </c>
      <c r="V15" s="27"/>
      <c r="W15" s="28">
        <f t="shared" si="0"/>
        <v>11559.166666666666</v>
      </c>
      <c r="X15" s="27"/>
      <c r="Y15" s="28">
        <f t="shared" si="0"/>
        <v>11559.166666666666</v>
      </c>
      <c r="Z15" s="27"/>
      <c r="AA15" s="28">
        <f>SUM(C15:Y15)</f>
        <v>138710.00000000003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34154.166666666664</v>
      </c>
      <c r="D16" s="29"/>
      <c r="E16" s="29">
        <f>SUM(E13:E15)</f>
        <v>34154.166666666664</v>
      </c>
      <c r="F16" s="29"/>
      <c r="G16" s="29">
        <f>SUM(G13:G15)</f>
        <v>34154.166666666664</v>
      </c>
      <c r="H16" s="29"/>
      <c r="I16" s="29">
        <f>SUM(I13:I15)</f>
        <v>34154.166666666664</v>
      </c>
      <c r="J16" s="29"/>
      <c r="K16" s="29">
        <f>SUM(K13:K15)</f>
        <v>34154.166666666664</v>
      </c>
      <c r="L16" s="29"/>
      <c r="M16" s="29">
        <f>SUM(M13:M15)</f>
        <v>34154.166666666664</v>
      </c>
      <c r="N16" s="29"/>
      <c r="O16" s="29">
        <f>SUM(O13:O15)</f>
        <v>34154.166666666664</v>
      </c>
      <c r="P16" s="29"/>
      <c r="Q16" s="29">
        <f>SUM(Q13:Q15)</f>
        <v>34154.166666666664</v>
      </c>
      <c r="R16" s="29"/>
      <c r="S16" s="29">
        <f>SUM(S13:S15)</f>
        <v>34154.166666666664</v>
      </c>
      <c r="T16" s="29"/>
      <c r="U16" s="29">
        <f>SUM(U13:U15)</f>
        <v>34154.166666666664</v>
      </c>
      <c r="V16" s="29"/>
      <c r="W16" s="29">
        <f>SUM(W13:W15)</f>
        <v>34154.166666666664</v>
      </c>
      <c r="X16" s="29"/>
      <c r="Y16" s="29">
        <f>SUM(Y13:Y15)</f>
        <v>34154.166666666664</v>
      </c>
      <c r="Z16" s="29"/>
      <c r="AA16" s="29">
        <f>SUM(C16:Y16)</f>
        <v>409850.00000000006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Plan'!C65</f>
        <v>0.1</v>
      </c>
      <c r="AG17" s="155">
        <f>'5 Year Plan'!C64</f>
        <v>0.3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f>C8*$AF$17*$AG$17</f>
        <v>2035.6575</v>
      </c>
      <c r="D19" s="27"/>
      <c r="E19" s="27">
        <f>E8*$AF$17*$AG$17</f>
        <v>2035.6575</v>
      </c>
      <c r="F19" s="27"/>
      <c r="G19" s="27">
        <f>G8*$AF$17*$AG$17</f>
        <v>2035.6575</v>
      </c>
      <c r="H19" s="27"/>
      <c r="I19" s="27">
        <f>I8*$AF$17*$AG$17</f>
        <v>2245.1749999999997</v>
      </c>
      <c r="J19" s="27"/>
      <c r="K19" s="27">
        <f>K8*$AF$17*$AG$17</f>
        <v>2245.1749999999997</v>
      </c>
      <c r="L19" s="27"/>
      <c r="M19" s="27">
        <f>M8*$AF$17*$AG$17</f>
        <v>2245.1749999999997</v>
      </c>
      <c r="N19" s="27"/>
      <c r="O19" s="27">
        <f>O8*$AF$17*$AG$17</f>
        <v>2245.1749999999997</v>
      </c>
      <c r="P19" s="27"/>
      <c r="Q19" s="27">
        <f>Q8*$AF$17*$AG$17</f>
        <v>2245.1749999999997</v>
      </c>
      <c r="R19" s="27"/>
      <c r="S19" s="27">
        <f>S8*$AF$17*$AG$17</f>
        <v>2245.1749999999997</v>
      </c>
      <c r="T19" s="27"/>
      <c r="U19" s="27">
        <f>U8*$AF$17*$AG$17</f>
        <v>2454.6925000000001</v>
      </c>
      <c r="V19" s="27"/>
      <c r="W19" s="27">
        <f>W8*$AF$17*$AG$17</f>
        <v>2454.6925000000001</v>
      </c>
      <c r="X19" s="27"/>
      <c r="Y19" s="27">
        <f>Y8*$AF$17*$AG$17</f>
        <v>2454.6925000000001</v>
      </c>
      <c r="Z19" s="27"/>
      <c r="AA19" s="27">
        <f>SUM(C19:Y19)</f>
        <v>26942.1</v>
      </c>
      <c r="AD19" s="55" t="s">
        <v>66</v>
      </c>
      <c r="AE19" s="80"/>
      <c r="AF19" s="66" t="s">
        <v>69</v>
      </c>
      <c r="AG19" s="66"/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4000</v>
      </c>
      <c r="D20" s="27"/>
      <c r="E20" s="27">
        <f>C20</f>
        <v>4000</v>
      </c>
      <c r="F20" s="27"/>
      <c r="G20" s="27">
        <f>E20</f>
        <v>4000</v>
      </c>
      <c r="H20" s="27"/>
      <c r="I20" s="27">
        <f>G20</f>
        <v>4000</v>
      </c>
      <c r="J20" s="27"/>
      <c r="K20" s="27">
        <f>I20</f>
        <v>4000</v>
      </c>
      <c r="L20" s="27"/>
      <c r="M20" s="27">
        <f>K20</f>
        <v>4000</v>
      </c>
      <c r="N20" s="27"/>
      <c r="O20" s="27">
        <f>M20</f>
        <v>4000</v>
      </c>
      <c r="P20" s="27"/>
      <c r="Q20" s="27">
        <f>O20</f>
        <v>4000</v>
      </c>
      <c r="R20" s="27"/>
      <c r="S20" s="27">
        <f>Q20</f>
        <v>4000</v>
      </c>
      <c r="T20" s="27"/>
      <c r="U20" s="27">
        <f>S20</f>
        <v>4000</v>
      </c>
      <c r="V20" s="27"/>
      <c r="W20" s="27">
        <f>U20</f>
        <v>4000</v>
      </c>
      <c r="X20" s="27"/>
      <c r="Y20" s="27">
        <f>W20</f>
        <v>4000</v>
      </c>
      <c r="Z20" s="27"/>
      <c r="AA20" s="27">
        <f>Y20</f>
        <v>4000</v>
      </c>
      <c r="AD20" s="50" t="s">
        <v>40</v>
      </c>
      <c r="AE20" s="81"/>
      <c r="AF20" s="153">
        <f>'5 Year Plan'!C107</f>
        <v>48000</v>
      </c>
      <c r="AG20" s="60">
        <f>AF20/12</f>
        <v>4000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3466.6666666666665</v>
      </c>
      <c r="D21" s="27"/>
      <c r="E21" s="28">
        <f>C21</f>
        <v>3466.6666666666665</v>
      </c>
      <c r="F21" s="27"/>
      <c r="G21" s="28">
        <f>E21</f>
        <v>3466.6666666666665</v>
      </c>
      <c r="H21" s="27"/>
      <c r="I21" s="28">
        <f>G21</f>
        <v>3466.6666666666665</v>
      </c>
      <c r="J21" s="27"/>
      <c r="K21" s="28">
        <f>I21</f>
        <v>3466.6666666666665</v>
      </c>
      <c r="L21" s="27"/>
      <c r="M21" s="28">
        <f>K21</f>
        <v>3466.6666666666665</v>
      </c>
      <c r="N21" s="27"/>
      <c r="O21" s="28">
        <f>M21</f>
        <v>3466.6666666666665</v>
      </c>
      <c r="P21" s="27"/>
      <c r="Q21" s="28">
        <f>O21</f>
        <v>3466.6666666666665</v>
      </c>
      <c r="R21" s="27"/>
      <c r="S21" s="28">
        <f>Q21</f>
        <v>3466.6666666666665</v>
      </c>
      <c r="T21" s="27"/>
      <c r="U21" s="28">
        <f>S21</f>
        <v>3466.6666666666665</v>
      </c>
      <c r="V21" s="27"/>
      <c r="W21" s="28">
        <f>U21</f>
        <v>3466.6666666666665</v>
      </c>
      <c r="X21" s="27"/>
      <c r="Y21" s="28">
        <f>W21</f>
        <v>3466.6666666666665</v>
      </c>
      <c r="Z21" s="27"/>
      <c r="AA21" s="28">
        <f>SUM(C21:Y21)</f>
        <v>41600</v>
      </c>
      <c r="AD21" s="56" t="s">
        <v>49</v>
      </c>
      <c r="AE21" s="82"/>
      <c r="AF21" s="154">
        <f>'5 Year Plan'!C106</f>
        <v>41600</v>
      </c>
      <c r="AG21" s="63">
        <f>AF21/12</f>
        <v>3466.6666666666665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9502.3241666666672</v>
      </c>
      <c r="D22" s="29"/>
      <c r="E22" s="29">
        <f>SUM(E19:E21)</f>
        <v>9502.3241666666672</v>
      </c>
      <c r="F22" s="29"/>
      <c r="G22" s="29">
        <f>SUM(G19:G21)</f>
        <v>9502.3241666666672</v>
      </c>
      <c r="H22" s="29"/>
      <c r="I22" s="29">
        <f>SUM(I19:I21)</f>
        <v>9711.8416666666653</v>
      </c>
      <c r="J22" s="29"/>
      <c r="K22" s="29">
        <f>SUM(K19:K21)</f>
        <v>9711.8416666666653</v>
      </c>
      <c r="L22" s="29"/>
      <c r="M22" s="29">
        <f>SUM(M19:M21)</f>
        <v>9711.8416666666653</v>
      </c>
      <c r="N22" s="29"/>
      <c r="O22" s="29">
        <f>SUM(O19:O21)</f>
        <v>9711.8416666666653</v>
      </c>
      <c r="P22" s="29"/>
      <c r="Q22" s="29">
        <f>SUM(Q19:Q21)</f>
        <v>9711.8416666666653</v>
      </c>
      <c r="R22" s="29"/>
      <c r="S22" s="29">
        <f>SUM(S19:S21)</f>
        <v>9711.8416666666653</v>
      </c>
      <c r="T22" s="29"/>
      <c r="U22" s="29">
        <f>SUM(U19:U21)</f>
        <v>9921.3591666666671</v>
      </c>
      <c r="V22" s="29"/>
      <c r="W22" s="29">
        <f>SUM(W19:W21)</f>
        <v>9921.3591666666671</v>
      </c>
      <c r="X22" s="29"/>
      <c r="Y22" s="29">
        <f>SUM(Y19:Y21)</f>
        <v>9921.3591666666671</v>
      </c>
      <c r="Z22" s="29"/>
      <c r="AA22" s="29">
        <f>SUM(C22:Y22)</f>
        <v>116542.09999999998</v>
      </c>
      <c r="AD22" s="50" t="s">
        <v>47</v>
      </c>
      <c r="AE22" s="81"/>
      <c r="AF22" s="60">
        <f>SUM(AF20:AF21)</f>
        <v>89600</v>
      </c>
      <c r="AG22" s="60">
        <f>SUM(AG20:AG21)</f>
        <v>7466.6666666666661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1" si="1">AG25</f>
        <v>6240</v>
      </c>
      <c r="D25" s="27"/>
      <c r="E25" s="27">
        <f>C25</f>
        <v>6240</v>
      </c>
      <c r="F25" s="27"/>
      <c r="G25" s="27">
        <f>E25</f>
        <v>6240</v>
      </c>
      <c r="H25" s="27"/>
      <c r="I25" s="27">
        <f>G25</f>
        <v>6240</v>
      </c>
      <c r="J25" s="27"/>
      <c r="K25" s="27">
        <f>I25</f>
        <v>6240</v>
      </c>
      <c r="L25" s="27"/>
      <c r="M25" s="27">
        <f>K25</f>
        <v>6240</v>
      </c>
      <c r="N25" s="27"/>
      <c r="O25" s="27">
        <f>M25</f>
        <v>6240</v>
      </c>
      <c r="P25" s="27"/>
      <c r="Q25" s="27">
        <f>O25</f>
        <v>6240</v>
      </c>
      <c r="R25" s="27"/>
      <c r="S25" s="27">
        <f>Q25</f>
        <v>6240</v>
      </c>
      <c r="T25" s="27"/>
      <c r="U25" s="27">
        <f>S25</f>
        <v>6240</v>
      </c>
      <c r="V25" s="27"/>
      <c r="W25" s="27">
        <f>U25</f>
        <v>6240</v>
      </c>
      <c r="X25" s="27"/>
      <c r="Y25" s="27">
        <f>W25</f>
        <v>6240</v>
      </c>
      <c r="Z25" s="27"/>
      <c r="AA25" s="27">
        <f t="shared" ref="AA25:AA32" si="2">SUM(C25:Y25)</f>
        <v>74880</v>
      </c>
      <c r="AD25" s="50" t="s">
        <v>35</v>
      </c>
      <c r="AE25" s="81"/>
      <c r="AF25" s="153">
        <f>'5 Year Plan'!C109</f>
        <v>74880</v>
      </c>
      <c r="AG25" s="60">
        <f>AF25/12</f>
        <v>6240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1"/>
        <v>2080</v>
      </c>
      <c r="D26" s="27"/>
      <c r="E26" s="27">
        <f t="shared" ref="E26:Y31" si="3">C26</f>
        <v>2080</v>
      </c>
      <c r="F26" s="27"/>
      <c r="G26" s="27">
        <f t="shared" si="3"/>
        <v>2080</v>
      </c>
      <c r="H26" s="27"/>
      <c r="I26" s="27">
        <f t="shared" si="3"/>
        <v>2080</v>
      </c>
      <c r="J26" s="27"/>
      <c r="K26" s="27">
        <f t="shared" si="3"/>
        <v>2080</v>
      </c>
      <c r="L26" s="27"/>
      <c r="M26" s="27">
        <f t="shared" si="3"/>
        <v>2080</v>
      </c>
      <c r="N26" s="27"/>
      <c r="O26" s="27">
        <f t="shared" si="3"/>
        <v>2080</v>
      </c>
      <c r="P26" s="27"/>
      <c r="Q26" s="27">
        <f t="shared" si="3"/>
        <v>2080</v>
      </c>
      <c r="R26" s="27"/>
      <c r="S26" s="27">
        <f t="shared" si="3"/>
        <v>2080</v>
      </c>
      <c r="T26" s="27"/>
      <c r="U26" s="27">
        <f t="shared" si="3"/>
        <v>2080</v>
      </c>
      <c r="V26" s="27"/>
      <c r="W26" s="27">
        <f t="shared" si="3"/>
        <v>2080</v>
      </c>
      <c r="X26" s="27"/>
      <c r="Y26" s="27">
        <f t="shared" si="3"/>
        <v>2080</v>
      </c>
      <c r="Z26" s="27"/>
      <c r="AA26" s="27">
        <f t="shared" si="2"/>
        <v>24960</v>
      </c>
      <c r="AD26" s="50" t="s">
        <v>42</v>
      </c>
      <c r="AE26" s="81"/>
      <c r="AF26" s="153">
        <f>'5 Year Plan'!C110</f>
        <v>24960</v>
      </c>
      <c r="AG26" s="60">
        <f t="shared" ref="AG26:AG31" si="4">AF26/12</f>
        <v>2080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1"/>
        <v>416</v>
      </c>
      <c r="D27" s="27"/>
      <c r="E27" s="27">
        <f t="shared" si="3"/>
        <v>416</v>
      </c>
      <c r="F27" s="27"/>
      <c r="G27" s="27">
        <f t="shared" si="3"/>
        <v>416</v>
      </c>
      <c r="H27" s="27"/>
      <c r="I27" s="27">
        <f t="shared" si="3"/>
        <v>416</v>
      </c>
      <c r="J27" s="27"/>
      <c r="K27" s="27">
        <f t="shared" si="3"/>
        <v>416</v>
      </c>
      <c r="L27" s="27"/>
      <c r="M27" s="27">
        <f t="shared" si="3"/>
        <v>416</v>
      </c>
      <c r="N27" s="27"/>
      <c r="O27" s="27">
        <f t="shared" si="3"/>
        <v>416</v>
      </c>
      <c r="P27" s="27"/>
      <c r="Q27" s="27">
        <f t="shared" si="3"/>
        <v>416</v>
      </c>
      <c r="R27" s="27"/>
      <c r="S27" s="27">
        <f t="shared" si="3"/>
        <v>416</v>
      </c>
      <c r="T27" s="27"/>
      <c r="U27" s="27">
        <f t="shared" si="3"/>
        <v>416</v>
      </c>
      <c r="V27" s="27"/>
      <c r="W27" s="27">
        <f t="shared" si="3"/>
        <v>416</v>
      </c>
      <c r="X27" s="27"/>
      <c r="Y27" s="27">
        <f t="shared" si="3"/>
        <v>416</v>
      </c>
      <c r="Z27" s="27"/>
      <c r="AA27" s="27">
        <f t="shared" si="2"/>
        <v>4992</v>
      </c>
      <c r="AD27" s="50" t="s">
        <v>39</v>
      </c>
      <c r="AE27" s="81"/>
      <c r="AF27" s="153">
        <f>'5 Year Plan'!C111</f>
        <v>4992</v>
      </c>
      <c r="AG27" s="60">
        <f t="shared" si="4"/>
        <v>416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1"/>
        <v>572</v>
      </c>
      <c r="D28" s="27"/>
      <c r="E28" s="27">
        <f t="shared" si="3"/>
        <v>572</v>
      </c>
      <c r="F28" s="27"/>
      <c r="G28" s="27">
        <f t="shared" si="3"/>
        <v>572</v>
      </c>
      <c r="H28" s="27"/>
      <c r="I28" s="27">
        <f t="shared" si="3"/>
        <v>572</v>
      </c>
      <c r="J28" s="27"/>
      <c r="K28" s="27">
        <f t="shared" si="3"/>
        <v>572</v>
      </c>
      <c r="L28" s="27"/>
      <c r="M28" s="27">
        <f t="shared" si="3"/>
        <v>572</v>
      </c>
      <c r="N28" s="27"/>
      <c r="O28" s="27">
        <f t="shared" si="3"/>
        <v>572</v>
      </c>
      <c r="P28" s="27"/>
      <c r="Q28" s="27">
        <f t="shared" si="3"/>
        <v>572</v>
      </c>
      <c r="R28" s="27"/>
      <c r="S28" s="27">
        <f t="shared" si="3"/>
        <v>572</v>
      </c>
      <c r="T28" s="27"/>
      <c r="U28" s="27">
        <f t="shared" si="3"/>
        <v>572</v>
      </c>
      <c r="V28" s="27"/>
      <c r="W28" s="27">
        <f t="shared" si="3"/>
        <v>572</v>
      </c>
      <c r="X28" s="27"/>
      <c r="Y28" s="27">
        <f t="shared" si="3"/>
        <v>572</v>
      </c>
      <c r="Z28" s="27"/>
      <c r="AA28" s="27">
        <f t="shared" si="2"/>
        <v>6864</v>
      </c>
      <c r="AD28" s="50" t="s">
        <v>43</v>
      </c>
      <c r="AE28" s="81"/>
      <c r="AF28" s="153">
        <f>'5 Year Plan'!C112</f>
        <v>6864</v>
      </c>
      <c r="AG28" s="60">
        <f t="shared" si="4"/>
        <v>572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1"/>
        <v>676</v>
      </c>
      <c r="D29" s="27"/>
      <c r="E29" s="27">
        <f t="shared" si="3"/>
        <v>676</v>
      </c>
      <c r="F29" s="27"/>
      <c r="G29" s="27">
        <f t="shared" si="3"/>
        <v>676</v>
      </c>
      <c r="H29" s="27"/>
      <c r="I29" s="27">
        <f t="shared" si="3"/>
        <v>676</v>
      </c>
      <c r="J29" s="27"/>
      <c r="K29" s="27">
        <f t="shared" si="3"/>
        <v>676</v>
      </c>
      <c r="L29" s="27"/>
      <c r="M29" s="27">
        <f t="shared" si="3"/>
        <v>676</v>
      </c>
      <c r="N29" s="27"/>
      <c r="O29" s="27">
        <f t="shared" si="3"/>
        <v>676</v>
      </c>
      <c r="P29" s="27"/>
      <c r="Q29" s="27">
        <f t="shared" si="3"/>
        <v>676</v>
      </c>
      <c r="R29" s="27"/>
      <c r="S29" s="27">
        <f t="shared" si="3"/>
        <v>676</v>
      </c>
      <c r="T29" s="27"/>
      <c r="U29" s="27">
        <f t="shared" si="3"/>
        <v>676</v>
      </c>
      <c r="V29" s="27"/>
      <c r="W29" s="27">
        <f t="shared" si="3"/>
        <v>676</v>
      </c>
      <c r="X29" s="27"/>
      <c r="Y29" s="27">
        <f t="shared" si="3"/>
        <v>676</v>
      </c>
      <c r="Z29" s="27"/>
      <c r="AA29" s="27">
        <f t="shared" si="2"/>
        <v>8112</v>
      </c>
      <c r="AD29" s="50" t="s">
        <v>55</v>
      </c>
      <c r="AE29" s="81"/>
      <c r="AF29" s="153">
        <f>'5 Year Plan'!C113</f>
        <v>8112</v>
      </c>
      <c r="AG29" s="60">
        <f t="shared" si="4"/>
        <v>676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1"/>
        <v>1040</v>
      </c>
      <c r="D30" s="27"/>
      <c r="E30" s="27">
        <f t="shared" si="3"/>
        <v>1040</v>
      </c>
      <c r="F30" s="27"/>
      <c r="G30" s="27">
        <f t="shared" si="3"/>
        <v>1040</v>
      </c>
      <c r="H30" s="27"/>
      <c r="I30" s="27">
        <f t="shared" si="3"/>
        <v>1040</v>
      </c>
      <c r="J30" s="27"/>
      <c r="K30" s="27">
        <f t="shared" si="3"/>
        <v>1040</v>
      </c>
      <c r="L30" s="27"/>
      <c r="M30" s="27">
        <f t="shared" si="3"/>
        <v>1040</v>
      </c>
      <c r="N30" s="27"/>
      <c r="O30" s="27">
        <f t="shared" si="3"/>
        <v>1040</v>
      </c>
      <c r="P30" s="27"/>
      <c r="Q30" s="27">
        <f t="shared" si="3"/>
        <v>1040</v>
      </c>
      <c r="R30" s="27"/>
      <c r="S30" s="27">
        <f t="shared" si="3"/>
        <v>1040</v>
      </c>
      <c r="T30" s="27"/>
      <c r="U30" s="27">
        <f t="shared" si="3"/>
        <v>1040</v>
      </c>
      <c r="V30" s="27"/>
      <c r="W30" s="27">
        <f t="shared" si="3"/>
        <v>1040</v>
      </c>
      <c r="X30" s="27"/>
      <c r="Y30" s="27">
        <f t="shared" si="3"/>
        <v>1040</v>
      </c>
      <c r="Z30" s="27"/>
      <c r="AA30" s="27">
        <f t="shared" si="2"/>
        <v>12480</v>
      </c>
      <c r="AD30" s="50" t="s">
        <v>46</v>
      </c>
      <c r="AE30" s="81"/>
      <c r="AF30" s="153">
        <f>'5 Year Plan'!C114</f>
        <v>12480</v>
      </c>
      <c r="AG30" s="60">
        <f t="shared" si="4"/>
        <v>1040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 t="shared" si="1"/>
        <v>8538.5416666666661</v>
      </c>
      <c r="D31" s="27"/>
      <c r="E31" s="28">
        <f t="shared" si="3"/>
        <v>8538.5416666666661</v>
      </c>
      <c r="F31" s="27"/>
      <c r="G31" s="28">
        <f t="shared" si="3"/>
        <v>8538.5416666666661</v>
      </c>
      <c r="H31" s="27"/>
      <c r="I31" s="28">
        <f t="shared" si="3"/>
        <v>8538.5416666666661</v>
      </c>
      <c r="J31" s="27"/>
      <c r="K31" s="28">
        <f t="shared" si="3"/>
        <v>8538.5416666666661</v>
      </c>
      <c r="L31" s="27"/>
      <c r="M31" s="28">
        <f t="shared" si="3"/>
        <v>8538.5416666666661</v>
      </c>
      <c r="N31" s="27"/>
      <c r="O31" s="28">
        <f t="shared" si="3"/>
        <v>8538.5416666666661</v>
      </c>
      <c r="P31" s="27"/>
      <c r="Q31" s="28">
        <f t="shared" si="3"/>
        <v>8538.5416666666661</v>
      </c>
      <c r="R31" s="27"/>
      <c r="S31" s="28">
        <f t="shared" si="3"/>
        <v>8538.5416666666661</v>
      </c>
      <c r="T31" s="27"/>
      <c r="U31" s="28">
        <f t="shared" si="3"/>
        <v>8538.5416666666661</v>
      </c>
      <c r="V31" s="27"/>
      <c r="W31" s="28">
        <f t="shared" si="3"/>
        <v>8538.5416666666661</v>
      </c>
      <c r="X31" s="27"/>
      <c r="Y31" s="28">
        <f t="shared" si="3"/>
        <v>8538.5416666666661</v>
      </c>
      <c r="Z31" s="27"/>
      <c r="AA31" s="28">
        <f t="shared" si="2"/>
        <v>102462.50000000001</v>
      </c>
      <c r="AD31" s="56" t="s">
        <v>48</v>
      </c>
      <c r="AE31" s="82"/>
      <c r="AF31" s="63">
        <f>'5 Year Plan'!C103</f>
        <v>102462.5</v>
      </c>
      <c r="AG31" s="63">
        <f t="shared" si="4"/>
        <v>8538.5416666666661</v>
      </c>
      <c r="AH31" s="157">
        <f>'5 Year Plan'!C62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19562.541666666664</v>
      </c>
      <c r="D32" s="29"/>
      <c r="E32" s="29">
        <f>SUM(E25:E31)</f>
        <v>19562.541666666664</v>
      </c>
      <c r="F32" s="29"/>
      <c r="G32" s="29">
        <f>SUM(G25:G31)</f>
        <v>19562.541666666664</v>
      </c>
      <c r="H32" s="29"/>
      <c r="I32" s="29">
        <f>SUM(I25:I31)</f>
        <v>19562.541666666664</v>
      </c>
      <c r="J32" s="29"/>
      <c r="K32" s="29">
        <f>SUM(K25:K31)</f>
        <v>19562.541666666664</v>
      </c>
      <c r="L32" s="29"/>
      <c r="M32" s="29">
        <f>SUM(M25:M31)</f>
        <v>19562.541666666664</v>
      </c>
      <c r="N32" s="29"/>
      <c r="O32" s="29">
        <f>SUM(O25:O31)</f>
        <v>19562.541666666664</v>
      </c>
      <c r="P32" s="29"/>
      <c r="Q32" s="29">
        <f>SUM(Q25:Q31)</f>
        <v>19562.541666666664</v>
      </c>
      <c r="R32" s="29"/>
      <c r="S32" s="29">
        <f>SUM(S25:S31)</f>
        <v>19562.541666666664</v>
      </c>
      <c r="T32" s="29"/>
      <c r="U32" s="29">
        <f>SUM(U25:U31)</f>
        <v>19562.541666666664</v>
      </c>
      <c r="V32" s="29"/>
      <c r="W32" s="29">
        <f>SUM(W25:W31)</f>
        <v>19562.541666666664</v>
      </c>
      <c r="X32" s="29"/>
      <c r="Y32" s="29">
        <f>SUM(Y25:Y31)</f>
        <v>19562.541666666664</v>
      </c>
      <c r="Z32" s="29"/>
      <c r="AA32" s="29">
        <f t="shared" si="2"/>
        <v>234750.49999999991</v>
      </c>
      <c r="AD32" s="50" t="s">
        <v>47</v>
      </c>
      <c r="AE32" s="81"/>
      <c r="AF32" s="60">
        <f>SUM(AF25:AF31)</f>
        <v>234750.5</v>
      </c>
      <c r="AG32" s="60">
        <f>SUM(AG25:AG31)</f>
        <v>19562.541666666664</v>
      </c>
      <c r="AH32" s="67"/>
    </row>
    <row r="33" spans="2:34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Plan'!C116</f>
        <v>5500</v>
      </c>
      <c r="AG35" s="73">
        <f>IF(AH35&gt;=2,AF35/12,"")</f>
        <v>458.33333333333331</v>
      </c>
      <c r="AH35" s="74">
        <f>'5 Year Plan'!C128</f>
        <v>4</v>
      </c>
    </row>
    <row r="36" spans="2:34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 t="shared" ref="E36:Y37" si="5">C36</f>
        <v>166.66666666666666</v>
      </c>
      <c r="F36" s="27"/>
      <c r="G36" s="27">
        <f t="shared" si="5"/>
        <v>166.66666666666666</v>
      </c>
      <c r="H36" s="27"/>
      <c r="I36" s="27">
        <f t="shared" si="5"/>
        <v>166.66666666666666</v>
      </c>
      <c r="J36" s="27"/>
      <c r="K36" s="27">
        <f t="shared" si="5"/>
        <v>166.66666666666666</v>
      </c>
      <c r="L36" s="27"/>
      <c r="M36" s="27">
        <f t="shared" si="5"/>
        <v>166.66666666666666</v>
      </c>
      <c r="N36" s="27"/>
      <c r="O36" s="27">
        <f t="shared" si="5"/>
        <v>166.66666666666666</v>
      </c>
      <c r="P36" s="27"/>
      <c r="Q36" s="27">
        <f t="shared" si="5"/>
        <v>166.66666666666666</v>
      </c>
      <c r="R36" s="27"/>
      <c r="S36" s="27">
        <f t="shared" si="5"/>
        <v>166.66666666666666</v>
      </c>
      <c r="T36" s="27"/>
      <c r="U36" s="27">
        <f t="shared" si="5"/>
        <v>166.66666666666666</v>
      </c>
      <c r="V36" s="27"/>
      <c r="W36" s="27">
        <f t="shared" si="5"/>
        <v>166.66666666666666</v>
      </c>
      <c r="X36" s="27"/>
      <c r="Y36" s="27">
        <f t="shared" si="5"/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Plan'!C117</f>
        <v>2000</v>
      </c>
      <c r="AG36" s="60">
        <f>IF(AH36&gt;=2,AF36/12,"")</f>
        <v>166.66666666666666</v>
      </c>
      <c r="AH36" s="59">
        <f>'5 Year Plan'!C129</f>
        <v>4</v>
      </c>
    </row>
    <row r="37" spans="2:34" x14ac:dyDescent="0.35">
      <c r="B37" s="9" t="str">
        <f>CONCATENATE("        ",'Income Statem_2006'!AD37)</f>
        <v xml:space="preserve">        Office Furniture</v>
      </c>
      <c r="C37" s="28">
        <f>AG37</f>
        <v>2083.3333333333335</v>
      </c>
      <c r="D37" s="27"/>
      <c r="E37" s="28">
        <f t="shared" si="5"/>
        <v>2083.3333333333335</v>
      </c>
      <c r="F37" s="27"/>
      <c r="G37" s="28">
        <f t="shared" si="5"/>
        <v>2083.3333333333335</v>
      </c>
      <c r="H37" s="27"/>
      <c r="I37" s="28">
        <f t="shared" si="5"/>
        <v>2083.3333333333335</v>
      </c>
      <c r="J37" s="27"/>
      <c r="K37" s="28">
        <f t="shared" si="5"/>
        <v>2083.3333333333335</v>
      </c>
      <c r="L37" s="27"/>
      <c r="M37" s="28">
        <f t="shared" si="5"/>
        <v>2083.3333333333335</v>
      </c>
      <c r="N37" s="27"/>
      <c r="O37" s="28">
        <f t="shared" si="5"/>
        <v>2083.3333333333335</v>
      </c>
      <c r="P37" s="27"/>
      <c r="Q37" s="28">
        <f t="shared" si="5"/>
        <v>2083.3333333333335</v>
      </c>
      <c r="R37" s="27"/>
      <c r="S37" s="28">
        <f t="shared" si="5"/>
        <v>2083.3333333333335</v>
      </c>
      <c r="T37" s="27"/>
      <c r="U37" s="28">
        <f t="shared" si="5"/>
        <v>2083.3333333333335</v>
      </c>
      <c r="V37" s="27"/>
      <c r="W37" s="28">
        <f t="shared" si="5"/>
        <v>2083.3333333333335</v>
      </c>
      <c r="X37" s="27"/>
      <c r="Y37" s="28">
        <f t="shared" si="5"/>
        <v>2083.3333333333335</v>
      </c>
      <c r="Z37" s="27"/>
      <c r="AA37" s="28">
        <f>SUM(C37:Y37)</f>
        <v>24999.999999999996</v>
      </c>
      <c r="AD37" s="56" t="s">
        <v>37</v>
      </c>
      <c r="AE37" s="86">
        <f>'5 Year Plan'!B130</f>
        <v>50000</v>
      </c>
      <c r="AF37" s="63">
        <f>'5 Year Plan'!C118</f>
        <v>25000</v>
      </c>
      <c r="AG37" s="63">
        <f>IF(AH37&gt;=2,AF37/12,"")</f>
        <v>2083.3333333333335</v>
      </c>
      <c r="AH37" s="62">
        <f>'5 Year Plan'!C130</f>
        <v>2</v>
      </c>
    </row>
    <row r="38" spans="2:34" ht="14.65" x14ac:dyDescent="0.6">
      <c r="B38" s="9" t="str">
        <f>CONCATENATE("    ",'Income Statem_2006'!AD38)</f>
        <v xml:space="preserve">    Total</v>
      </c>
      <c r="C38" s="29">
        <f>SUM(C35:C37)</f>
        <v>2708.3333333333335</v>
      </c>
      <c r="D38" s="29"/>
      <c r="E38" s="29">
        <f>SUM(E35:E37)</f>
        <v>2708.3333333333335</v>
      </c>
      <c r="F38" s="29"/>
      <c r="G38" s="29">
        <f>SUM(G35:G37)</f>
        <v>2708.3333333333335</v>
      </c>
      <c r="H38" s="29"/>
      <c r="I38" s="29">
        <f>SUM(I35:I37)</f>
        <v>2708.3333333333335</v>
      </c>
      <c r="J38" s="29"/>
      <c r="K38" s="29">
        <f>SUM(K35:K37)</f>
        <v>2708.3333333333335</v>
      </c>
      <c r="L38" s="29"/>
      <c r="M38" s="29">
        <f>SUM(M35:M37)</f>
        <v>2708.3333333333335</v>
      </c>
      <c r="N38" s="29"/>
      <c r="O38" s="29">
        <f>SUM(O35:O37)</f>
        <v>2708.3333333333335</v>
      </c>
      <c r="P38" s="29"/>
      <c r="Q38" s="29">
        <f>SUM(Q35:Q37)</f>
        <v>2708.3333333333335</v>
      </c>
      <c r="R38" s="29"/>
      <c r="S38" s="29">
        <f>SUM(S35:S37)</f>
        <v>2708.3333333333335</v>
      </c>
      <c r="T38" s="29"/>
      <c r="U38" s="29">
        <f>SUM(U35:U37)</f>
        <v>2708.3333333333335</v>
      </c>
      <c r="V38" s="29"/>
      <c r="W38" s="29">
        <f>SUM(W35:W37)</f>
        <v>2708.3333333333335</v>
      </c>
      <c r="X38" s="29"/>
      <c r="Y38" s="29">
        <f>SUM(Y35:Y37)</f>
        <v>2708.3333333333335</v>
      </c>
      <c r="Z38" s="29"/>
      <c r="AA38" s="29">
        <f>SUM(C38:Y38)</f>
        <v>32499.999999999996</v>
      </c>
      <c r="AD38" s="50" t="s">
        <v>47</v>
      </c>
      <c r="AE38" s="81">
        <f>SUM(AE35:AE37)</f>
        <v>80000</v>
      </c>
      <c r="AF38" s="60">
        <f>SUM(AF35:AF37)</f>
        <v>32500</v>
      </c>
      <c r="AG38" s="60">
        <f>SUM(AG35:AG37)</f>
        <v>2708.3333333333335</v>
      </c>
      <c r="AH38" s="61"/>
    </row>
    <row r="39" spans="2:34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3.5" x14ac:dyDescent="0.45">
      <c r="B40" s="9" t="s">
        <v>51</v>
      </c>
      <c r="C40" s="30">
        <f>C16+C22+C32+C38</f>
        <v>65927.36583333333</v>
      </c>
      <c r="D40" s="30"/>
      <c r="E40" s="30">
        <f>E16+E22+E32+E38</f>
        <v>65927.36583333333</v>
      </c>
      <c r="F40" s="30"/>
      <c r="G40" s="30">
        <f>G16+G22+G32+G38</f>
        <v>65927.36583333333</v>
      </c>
      <c r="H40" s="30"/>
      <c r="I40" s="30">
        <f>I16+I22+I32+I38</f>
        <v>66136.883333333331</v>
      </c>
      <c r="J40" s="30"/>
      <c r="K40" s="30">
        <f>K16+K22+K32+K38</f>
        <v>66136.883333333331</v>
      </c>
      <c r="L40" s="30"/>
      <c r="M40" s="30">
        <f>M16+M22+M32+M38</f>
        <v>66136.883333333331</v>
      </c>
      <c r="N40" s="30"/>
      <c r="O40" s="30">
        <f>O16+O22+O32+O38</f>
        <v>66136.883333333331</v>
      </c>
      <c r="P40" s="30"/>
      <c r="Q40" s="30">
        <f>Q16+Q22+Q32+Q38</f>
        <v>66136.883333333331</v>
      </c>
      <c r="R40" s="30"/>
      <c r="S40" s="30">
        <f>S16+S22+S32+S38</f>
        <v>66136.883333333331</v>
      </c>
      <c r="T40" s="30"/>
      <c r="U40" s="30">
        <f>U16+U22+U32+U38</f>
        <v>66346.400833333333</v>
      </c>
      <c r="V40" s="30"/>
      <c r="W40" s="30">
        <f>W16+W22+W32+W38</f>
        <v>66346.400833333333</v>
      </c>
      <c r="X40" s="30"/>
      <c r="Y40" s="30">
        <f>Y16+Y22+Y32+Y38</f>
        <v>66346.400833333333</v>
      </c>
      <c r="Z40" s="30"/>
      <c r="AA40" s="30">
        <f>SUM(C40:Y40)</f>
        <v>793642.6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Plan'!C119</f>
        <v>20000</v>
      </c>
      <c r="AG41" s="60">
        <f>AF41/12</f>
        <v>1666.6666666666667</v>
      </c>
      <c r="AH41" s="72" t="e">
        <f>'5 Year Plan'!#REF!</f>
        <v>#REF!</v>
      </c>
    </row>
    <row r="42" spans="2:34" ht="13.5" x14ac:dyDescent="0.45">
      <c r="B42" s="9" t="s">
        <v>5</v>
      </c>
      <c r="C42" s="30">
        <f>C8-C40</f>
        <v>1927.8841666666704</v>
      </c>
      <c r="D42" s="30"/>
      <c r="E42" s="30">
        <f>E8-E40</f>
        <v>1927.8841666666704</v>
      </c>
      <c r="F42" s="30"/>
      <c r="G42" s="30">
        <f>G8-G40</f>
        <v>1927.8841666666704</v>
      </c>
      <c r="H42" s="30"/>
      <c r="I42" s="30">
        <f>I8-I40</f>
        <v>8702.2833333333256</v>
      </c>
      <c r="J42" s="30"/>
      <c r="K42" s="30">
        <f>K8-K40</f>
        <v>8702.2833333333256</v>
      </c>
      <c r="L42" s="30"/>
      <c r="M42" s="30">
        <f>M8-M40</f>
        <v>8702.2833333333256</v>
      </c>
      <c r="N42" s="30"/>
      <c r="O42" s="30">
        <f>O8-O40</f>
        <v>8702.2833333333256</v>
      </c>
      <c r="P42" s="30"/>
      <c r="Q42" s="30">
        <f>Q8-Q40</f>
        <v>8702.2833333333256</v>
      </c>
      <c r="R42" s="30"/>
      <c r="S42" s="30">
        <f>S8-S40</f>
        <v>8702.2833333333256</v>
      </c>
      <c r="T42" s="30"/>
      <c r="U42" s="30">
        <f>U8-U40</f>
        <v>15476.68250000001</v>
      </c>
      <c r="V42" s="30"/>
      <c r="W42" s="30">
        <f>W8-W40</f>
        <v>15476.68250000001</v>
      </c>
      <c r="X42" s="30"/>
      <c r="Y42" s="30">
        <f>Y8-Y40</f>
        <v>15476.68250000001</v>
      </c>
      <c r="Z42" s="30"/>
      <c r="AA42" s="30">
        <f>AA8-AA40</f>
        <v>104427.39999999991</v>
      </c>
      <c r="AE42" s="163"/>
      <c r="AF42" s="164"/>
      <c r="AG42" s="164"/>
      <c r="AH42" s="165"/>
    </row>
    <row r="43" spans="2:34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Plan'!C81</f>
        <v>0.3</v>
      </c>
      <c r="AG44" s="171"/>
      <c r="AH44" s="172"/>
    </row>
    <row r="45" spans="2:34" ht="13.5" x14ac:dyDescent="0.45">
      <c r="B45" s="9" t="s">
        <v>99</v>
      </c>
      <c r="C45" s="42">
        <f>C42-C43</f>
        <v>261.21750000000361</v>
      </c>
      <c r="D45" s="42"/>
      <c r="E45" s="42">
        <f>E42-E43</f>
        <v>261.21750000000361</v>
      </c>
      <c r="F45" s="42"/>
      <c r="G45" s="42">
        <f>G42-G43</f>
        <v>261.21750000000361</v>
      </c>
      <c r="H45" s="42"/>
      <c r="I45" s="42">
        <f>I42-I43</f>
        <v>7035.6166666666586</v>
      </c>
      <c r="J45" s="42"/>
      <c r="K45" s="42">
        <f>K42-K43</f>
        <v>7035.6166666666586</v>
      </c>
      <c r="L45" s="42"/>
      <c r="M45" s="42">
        <f>M42-M43</f>
        <v>7035.6166666666586</v>
      </c>
      <c r="N45" s="42"/>
      <c r="O45" s="42">
        <f>O42-O43</f>
        <v>7035.6166666666586</v>
      </c>
      <c r="P45" s="42"/>
      <c r="Q45" s="42">
        <f>Q42-Q43</f>
        <v>7035.6166666666586</v>
      </c>
      <c r="R45" s="42"/>
      <c r="S45" s="42">
        <f>S42-S43</f>
        <v>7035.6166666666586</v>
      </c>
      <c r="T45" s="42"/>
      <c r="U45" s="42">
        <f>U42-U43</f>
        <v>13810.015833333344</v>
      </c>
      <c r="V45" s="42"/>
      <c r="W45" s="42">
        <f>W42-W43</f>
        <v>13810.015833333344</v>
      </c>
      <c r="X45" s="42"/>
      <c r="Y45" s="42">
        <f>Y42-Y43</f>
        <v>13810.015833333344</v>
      </c>
      <c r="Z45" s="30"/>
      <c r="AA45" s="42">
        <f>AA42-AA43</f>
        <v>84427.399999999907</v>
      </c>
    </row>
    <row r="46" spans="2:34" ht="14.65" x14ac:dyDescent="0.6">
      <c r="B46" s="9" t="s">
        <v>100</v>
      </c>
      <c r="C46" s="29">
        <f t="shared" ref="C46:Z46" si="6">C45*$AF$44</f>
        <v>78.365250000001083</v>
      </c>
      <c r="D46" s="27">
        <f t="shared" si="6"/>
        <v>0</v>
      </c>
      <c r="E46" s="29">
        <f t="shared" si="6"/>
        <v>78.365250000001083</v>
      </c>
      <c r="F46" s="27">
        <f t="shared" si="6"/>
        <v>0</v>
      </c>
      <c r="G46" s="29">
        <f t="shared" si="6"/>
        <v>78.365250000001083</v>
      </c>
      <c r="H46" s="27">
        <f t="shared" si="6"/>
        <v>0</v>
      </c>
      <c r="I46" s="29">
        <f t="shared" si="6"/>
        <v>2110.6849999999977</v>
      </c>
      <c r="J46" s="27">
        <f t="shared" si="6"/>
        <v>0</v>
      </c>
      <c r="K46" s="29">
        <f t="shared" si="6"/>
        <v>2110.6849999999977</v>
      </c>
      <c r="L46" s="27">
        <f t="shared" si="6"/>
        <v>0</v>
      </c>
      <c r="M46" s="29">
        <f t="shared" si="6"/>
        <v>2110.6849999999977</v>
      </c>
      <c r="N46" s="27">
        <f t="shared" si="6"/>
        <v>0</v>
      </c>
      <c r="O46" s="29">
        <f t="shared" si="6"/>
        <v>2110.6849999999977</v>
      </c>
      <c r="P46" s="27">
        <f t="shared" si="6"/>
        <v>0</v>
      </c>
      <c r="Q46" s="29">
        <f t="shared" si="6"/>
        <v>2110.6849999999977</v>
      </c>
      <c r="R46" s="27">
        <f t="shared" si="6"/>
        <v>0</v>
      </c>
      <c r="S46" s="29">
        <f t="shared" si="6"/>
        <v>2110.6849999999977</v>
      </c>
      <c r="T46" s="27">
        <f t="shared" si="6"/>
        <v>0</v>
      </c>
      <c r="U46" s="29">
        <f t="shared" si="6"/>
        <v>4143.0047500000028</v>
      </c>
      <c r="V46" s="27">
        <f t="shared" si="6"/>
        <v>0</v>
      </c>
      <c r="W46" s="29">
        <f t="shared" si="6"/>
        <v>4143.0047500000028</v>
      </c>
      <c r="X46" s="27">
        <f t="shared" si="6"/>
        <v>0</v>
      </c>
      <c r="Y46" s="29">
        <f t="shared" si="6"/>
        <v>4143.0047500000028</v>
      </c>
      <c r="Z46" s="27">
        <f t="shared" si="6"/>
        <v>0</v>
      </c>
      <c r="AA46" s="29">
        <f>SUM(C46:Y46)</f>
        <v>25328.22</v>
      </c>
    </row>
    <row r="47" spans="2:34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3.5" x14ac:dyDescent="0.45">
      <c r="B48" s="9" t="s">
        <v>52</v>
      </c>
      <c r="C48" s="42">
        <f>C45-C46</f>
        <v>182.85225000000253</v>
      </c>
      <c r="D48" s="42">
        <f t="shared" ref="D48:Z48" si="7">D45-D46</f>
        <v>0</v>
      </c>
      <c r="E48" s="42">
        <f t="shared" si="7"/>
        <v>182.85225000000253</v>
      </c>
      <c r="F48" s="42">
        <f t="shared" si="7"/>
        <v>0</v>
      </c>
      <c r="G48" s="42">
        <f t="shared" si="7"/>
        <v>182.85225000000253</v>
      </c>
      <c r="H48" s="42">
        <f t="shared" si="7"/>
        <v>0</v>
      </c>
      <c r="I48" s="42">
        <f t="shared" si="7"/>
        <v>4924.9316666666609</v>
      </c>
      <c r="J48" s="42">
        <f t="shared" si="7"/>
        <v>0</v>
      </c>
      <c r="K48" s="42">
        <f t="shared" si="7"/>
        <v>4924.9316666666609</v>
      </c>
      <c r="L48" s="42">
        <f t="shared" si="7"/>
        <v>0</v>
      </c>
      <c r="M48" s="42">
        <f t="shared" si="7"/>
        <v>4924.9316666666609</v>
      </c>
      <c r="N48" s="42">
        <f t="shared" si="7"/>
        <v>0</v>
      </c>
      <c r="O48" s="42">
        <f t="shared" si="7"/>
        <v>4924.9316666666609</v>
      </c>
      <c r="P48" s="42">
        <f t="shared" si="7"/>
        <v>0</v>
      </c>
      <c r="Q48" s="42">
        <f t="shared" si="7"/>
        <v>4924.9316666666609</v>
      </c>
      <c r="R48" s="42">
        <f t="shared" si="7"/>
        <v>0</v>
      </c>
      <c r="S48" s="42">
        <f t="shared" si="7"/>
        <v>4924.9316666666609</v>
      </c>
      <c r="T48" s="42">
        <f t="shared" si="7"/>
        <v>0</v>
      </c>
      <c r="U48" s="42">
        <f t="shared" si="7"/>
        <v>9667.011083333342</v>
      </c>
      <c r="V48" s="42">
        <f t="shared" si="7"/>
        <v>0</v>
      </c>
      <c r="W48" s="42">
        <f t="shared" si="7"/>
        <v>9667.011083333342</v>
      </c>
      <c r="X48" s="42">
        <f t="shared" si="7"/>
        <v>0</v>
      </c>
      <c r="Y48" s="42">
        <f t="shared" si="7"/>
        <v>9667.011083333342</v>
      </c>
      <c r="Z48" s="42">
        <f t="shared" si="7"/>
        <v>0</v>
      </c>
      <c r="AA48" s="42">
        <f>SUM(C48:Y48)</f>
        <v>59099.180000000008</v>
      </c>
    </row>
    <row r="50" spans="2:31" x14ac:dyDescent="0.35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 x14ac:dyDescent="0.35">
      <c r="B51" s="9" t="str">
        <f>CONCATENATE("Commission Salesperson: ",AF17*100,"%","; Share of Sales to new subscribers: ",AG17*100,"%")</f>
        <v>Commission Salesperson: 10%; Share of Sales to new subscribers: 30%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 x14ac:dyDescent="0.35">
      <c r="B52" s="9" t="str">
        <f>CONCATENATE("Share Employee Benefits of Total Salaries: ",AH31*100,"%")</f>
        <v>Share Employee Benefits of Total Salaries: 20%</v>
      </c>
      <c r="AE52" s="58"/>
    </row>
    <row r="53" spans="2:31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35">
      <c r="B54" s="9" t="e">
        <f>CONCATENATE("Interest rate for 2 year bank loan: ",AH41*100," %")</f>
        <v>#REF!</v>
      </c>
    </row>
    <row r="55" spans="2:31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18850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AI101"/>
  <sheetViews>
    <sheetView showGridLines="0" topLeftCell="B1" zoomScale="75" workbookViewId="0">
      <selection activeCell="AF13" sqref="AF13"/>
    </sheetView>
  </sheetViews>
  <sheetFormatPr defaultRowHeight="12.75" x14ac:dyDescent="0.35"/>
  <cols>
    <col min="1" max="1" width="0" hidden="1" customWidth="1"/>
    <col min="2" max="2" width="29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9.1328125" bestFit="1" customWidth="1"/>
    <col min="31" max="33" width="18.73046875" customWidth="1"/>
    <col min="34" max="34" width="21.1328125" bestFit="1" customWidth="1"/>
  </cols>
  <sheetData>
    <row r="2" spans="2:35" x14ac:dyDescent="0.35">
      <c r="B2" s="24" t="s">
        <v>54</v>
      </c>
    </row>
    <row r="4" spans="2:35" ht="13.5" thickBot="1" x14ac:dyDescent="0.45">
      <c r="B4" s="25" t="s">
        <v>140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D4" s="3"/>
      <c r="AE4" s="3"/>
      <c r="AF4" s="3"/>
      <c r="AG4" s="3"/>
      <c r="AH4" s="3"/>
      <c r="AI4" s="3"/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</row>
    <row r="7" spans="2:35" x14ac:dyDescent="0.35">
      <c r="AD7" s="53" t="s">
        <v>34</v>
      </c>
      <c r="AE7" s="150"/>
      <c r="AF7" s="151"/>
      <c r="AG7" s="50"/>
      <c r="AH7" s="50"/>
    </row>
    <row r="8" spans="2:35" ht="13.5" x14ac:dyDescent="0.45">
      <c r="B8" s="9" t="s">
        <v>0</v>
      </c>
      <c r="C8" s="30">
        <f>'Sales Projections_Total'!H38</f>
        <v>90634.25</v>
      </c>
      <c r="D8" s="30"/>
      <c r="E8" s="30">
        <f>'Sales Projections_Total'!H39</f>
        <v>90634.25</v>
      </c>
      <c r="F8" s="30"/>
      <c r="G8" s="30">
        <f>'Sales Projections_Total'!H40</f>
        <v>90634.25</v>
      </c>
      <c r="H8" s="30"/>
      <c r="I8" s="30">
        <f>'Sales Projections_Total'!H41</f>
        <v>99982.5</v>
      </c>
      <c r="J8" s="30"/>
      <c r="K8" s="30">
        <f>'Sales Projections_Total'!H42</f>
        <v>99982.5</v>
      </c>
      <c r="L8" s="30"/>
      <c r="M8" s="30">
        <f>'Sales Projections_Total'!H43</f>
        <v>99982.5</v>
      </c>
      <c r="N8" s="30"/>
      <c r="O8" s="30">
        <f>'Sales Projections_Total'!H44</f>
        <v>99982.5</v>
      </c>
      <c r="P8" s="30"/>
      <c r="Q8" s="30">
        <f>'Sales Projections_Total'!H45</f>
        <v>99982.5</v>
      </c>
      <c r="R8" s="30"/>
      <c r="S8" s="30">
        <f>'Sales Projections_Total'!H46</f>
        <v>99982.5</v>
      </c>
      <c r="T8" s="30"/>
      <c r="U8" s="30">
        <f>'Sales Projections_Total'!H47</f>
        <v>109330.75000000001</v>
      </c>
      <c r="V8" s="30"/>
      <c r="W8" s="30">
        <f>'Sales Projections_Total'!H48</f>
        <v>109330.75000000001</v>
      </c>
      <c r="X8" s="30"/>
      <c r="Y8" s="30">
        <f>'Sales Projections_Total'!H49</f>
        <v>109330.75000000001</v>
      </c>
      <c r="Z8" s="30"/>
      <c r="AA8" s="30">
        <f>SUM(C8:Y8)</f>
        <v>1199790</v>
      </c>
      <c r="AD8" s="54" t="s">
        <v>90</v>
      </c>
      <c r="AE8" s="50"/>
      <c r="AF8" s="50"/>
      <c r="AG8" s="50"/>
      <c r="AH8" s="50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/>
      <c r="AE9" s="50"/>
      <c r="AF9" s="50"/>
      <c r="AG9" s="50"/>
      <c r="AH9" s="50"/>
    </row>
    <row r="10" spans="2:35" ht="13.15" thickBot="1" x14ac:dyDescent="0.4">
      <c r="B10" s="9" t="s">
        <v>2</v>
      </c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D10" s="55" t="s">
        <v>50</v>
      </c>
      <c r="AE10" s="57"/>
      <c r="AF10" s="75" t="s">
        <v>69</v>
      </c>
      <c r="AG10" s="75" t="s">
        <v>68</v>
      </c>
      <c r="AH10" s="50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 t="str">
        <f>'Income Statem_2006'!AD11</f>
        <v>Technician/Programmer</v>
      </c>
      <c r="AE11" s="76"/>
      <c r="AF11" s="152">
        <f>'5 Year Plan'!D100</f>
        <v>204420</v>
      </c>
      <c r="AG11" s="77">
        <f>AF11/12</f>
        <v>17035</v>
      </c>
      <c r="AH11" s="78"/>
    </row>
    <row r="12" spans="2:35" ht="12" customHeight="1" x14ac:dyDescent="0.35">
      <c r="B12" s="9" t="str">
        <f>CONCATENATE("    ",'Income Statem_2006'!AD10)</f>
        <v xml:space="preserve">    Salaries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 t="str">
        <f>'Income Statem_2006'!AD12</f>
        <v>Secretary (CRM)</v>
      </c>
      <c r="AE12" s="79"/>
      <c r="AF12" s="153">
        <f>'5 Year Plan'!D101</f>
        <v>77560</v>
      </c>
      <c r="AG12" s="60">
        <f>AF12/12</f>
        <v>6463.333333333333</v>
      </c>
      <c r="AH12" s="61"/>
    </row>
    <row r="13" spans="2:35" x14ac:dyDescent="0.35">
      <c r="B13" s="9" t="str">
        <f>CONCATENATE("        ",'Income Statem_2006'!AD11)</f>
        <v xml:space="preserve">        Technician/Programmer</v>
      </c>
      <c r="C13" s="27">
        <f>AG11</f>
        <v>17035</v>
      </c>
      <c r="D13" s="27"/>
      <c r="E13" s="27">
        <f>C13</f>
        <v>17035</v>
      </c>
      <c r="F13" s="27"/>
      <c r="G13" s="27">
        <f>E13</f>
        <v>17035</v>
      </c>
      <c r="H13" s="27"/>
      <c r="I13" s="27">
        <f>G13</f>
        <v>17035</v>
      </c>
      <c r="J13" s="27"/>
      <c r="K13" s="27">
        <f>I13</f>
        <v>17035</v>
      </c>
      <c r="L13" s="27"/>
      <c r="M13" s="27">
        <f>K13</f>
        <v>17035</v>
      </c>
      <c r="N13" s="27"/>
      <c r="O13" s="27">
        <f>M13</f>
        <v>17035</v>
      </c>
      <c r="P13" s="27"/>
      <c r="Q13" s="27">
        <f>O13</f>
        <v>17035</v>
      </c>
      <c r="R13" s="27"/>
      <c r="S13" s="27">
        <f>Q13</f>
        <v>17035</v>
      </c>
      <c r="T13" s="27"/>
      <c r="U13" s="27">
        <f>S13</f>
        <v>17035</v>
      </c>
      <c r="V13" s="27"/>
      <c r="W13" s="27">
        <f>U13</f>
        <v>17035</v>
      </c>
      <c r="X13" s="27"/>
      <c r="Y13" s="27">
        <f>W13</f>
        <v>17035</v>
      </c>
      <c r="Z13" s="27"/>
      <c r="AA13" s="27">
        <f>SUM(C13:Y13)</f>
        <v>204420</v>
      </c>
      <c r="AD13" s="56" t="str">
        <f>'Income Statem_2006'!AD13</f>
        <v>Salesperson</v>
      </c>
      <c r="AE13" s="80"/>
      <c r="AF13" s="154">
        <f>'5 Year Plan'!D102</f>
        <v>144260</v>
      </c>
      <c r="AG13" s="63">
        <f>AF13/12</f>
        <v>12021.666666666666</v>
      </c>
      <c r="AH13" s="64"/>
    </row>
    <row r="14" spans="2:35" x14ac:dyDescent="0.35">
      <c r="B14" s="9" t="str">
        <f>CONCATENATE("        ","Client Relations Officer")</f>
        <v xml:space="preserve">        Client Relations Officer</v>
      </c>
      <c r="C14" s="27">
        <f>AG12</f>
        <v>6463.333333333333</v>
      </c>
      <c r="D14" s="27"/>
      <c r="E14" s="27">
        <f>C14</f>
        <v>6463.333333333333</v>
      </c>
      <c r="F14" s="27"/>
      <c r="G14" s="27">
        <f>E14</f>
        <v>6463.333333333333</v>
      </c>
      <c r="H14" s="27"/>
      <c r="I14" s="27">
        <f>G14</f>
        <v>6463.333333333333</v>
      </c>
      <c r="J14" s="27"/>
      <c r="K14" s="27">
        <f>I14</f>
        <v>6463.333333333333</v>
      </c>
      <c r="L14" s="27"/>
      <c r="M14" s="27">
        <f>K14</f>
        <v>6463.333333333333</v>
      </c>
      <c r="N14" s="27"/>
      <c r="O14" s="27">
        <f>M14</f>
        <v>6463.333333333333</v>
      </c>
      <c r="P14" s="27"/>
      <c r="Q14" s="27">
        <f>O14</f>
        <v>6463.333333333333</v>
      </c>
      <c r="R14" s="27"/>
      <c r="S14" s="27">
        <f>Q14</f>
        <v>6463.333333333333</v>
      </c>
      <c r="T14" s="27"/>
      <c r="U14" s="27">
        <f>S14</f>
        <v>6463.333333333333</v>
      </c>
      <c r="V14" s="27"/>
      <c r="W14" s="27">
        <f>U14</f>
        <v>6463.333333333333</v>
      </c>
      <c r="X14" s="27"/>
      <c r="Y14" s="27">
        <f>W14</f>
        <v>6463.333333333333</v>
      </c>
      <c r="Z14" s="27"/>
      <c r="AA14" s="27">
        <f>SUM(C14:Y14)</f>
        <v>77560</v>
      </c>
      <c r="AD14" s="50" t="s">
        <v>47</v>
      </c>
      <c r="AE14" s="79"/>
      <c r="AF14" s="60">
        <f>SUM(AF11:AF13)</f>
        <v>426240</v>
      </c>
      <c r="AG14" s="60">
        <f>SUM(AG11:AG13)</f>
        <v>35520</v>
      </c>
      <c r="AH14" s="61"/>
    </row>
    <row r="15" spans="2:35" x14ac:dyDescent="0.35">
      <c r="B15" s="9" t="str">
        <f>CONCATENATE("        ",'Income Statem_2006'!AD13)</f>
        <v xml:space="preserve">        Salesperson</v>
      </c>
      <c r="C15" s="28">
        <f>AG13</f>
        <v>12021.666666666666</v>
      </c>
      <c r="D15" s="27"/>
      <c r="E15" s="28">
        <f>C15</f>
        <v>12021.666666666666</v>
      </c>
      <c r="F15" s="27"/>
      <c r="G15" s="28">
        <f>E15</f>
        <v>12021.666666666666</v>
      </c>
      <c r="H15" s="27"/>
      <c r="I15" s="28">
        <f>G15</f>
        <v>12021.666666666666</v>
      </c>
      <c r="J15" s="27"/>
      <c r="K15" s="28">
        <f>I15</f>
        <v>12021.666666666666</v>
      </c>
      <c r="L15" s="27"/>
      <c r="M15" s="28">
        <f>K15</f>
        <v>12021.666666666666</v>
      </c>
      <c r="N15" s="27"/>
      <c r="O15" s="28">
        <f>M15</f>
        <v>12021.666666666666</v>
      </c>
      <c r="P15" s="27"/>
      <c r="Q15" s="28">
        <f>O15</f>
        <v>12021.666666666666</v>
      </c>
      <c r="R15" s="27"/>
      <c r="S15" s="28">
        <f>Q15</f>
        <v>12021.666666666666</v>
      </c>
      <c r="T15" s="27"/>
      <c r="U15" s="28">
        <f>S15</f>
        <v>12021.666666666666</v>
      </c>
      <c r="V15" s="27"/>
      <c r="W15" s="28">
        <f>U15</f>
        <v>12021.666666666666</v>
      </c>
      <c r="X15" s="27"/>
      <c r="Y15" s="28">
        <f>W15</f>
        <v>12021.666666666666</v>
      </c>
      <c r="Z15" s="27"/>
      <c r="AA15" s="28">
        <f>SUM(C15:Y15)</f>
        <v>144260</v>
      </c>
      <c r="AD15" s="50"/>
      <c r="AE15" s="79"/>
      <c r="AF15" s="65"/>
      <c r="AG15" s="65"/>
      <c r="AH15" s="61"/>
    </row>
    <row r="16" spans="2:35" ht="14.65" x14ac:dyDescent="0.6">
      <c r="B16" s="9" t="str">
        <f>CONCATENATE("    ",'Income Statem_2006'!AD14)</f>
        <v xml:space="preserve">    Total</v>
      </c>
      <c r="C16" s="29">
        <f>SUM(C13:C15)</f>
        <v>35520</v>
      </c>
      <c r="D16" s="29"/>
      <c r="E16" s="29">
        <f>SUM(E13:E15)</f>
        <v>35520</v>
      </c>
      <c r="F16" s="29"/>
      <c r="G16" s="29">
        <f>SUM(G13:G15)</f>
        <v>35520</v>
      </c>
      <c r="H16" s="29"/>
      <c r="I16" s="29">
        <f>SUM(I13:I15)</f>
        <v>35520</v>
      </c>
      <c r="J16" s="29"/>
      <c r="K16" s="29">
        <f>SUM(K13:K15)</f>
        <v>35520</v>
      </c>
      <c r="L16" s="29"/>
      <c r="M16" s="29">
        <f>SUM(M13:M15)</f>
        <v>35520</v>
      </c>
      <c r="N16" s="29"/>
      <c r="O16" s="29">
        <f>SUM(O13:O15)</f>
        <v>35520</v>
      </c>
      <c r="P16" s="29"/>
      <c r="Q16" s="29">
        <f>SUM(Q13:Q15)</f>
        <v>35520</v>
      </c>
      <c r="R16" s="29"/>
      <c r="S16" s="29">
        <f>SUM(S13:S15)</f>
        <v>35520</v>
      </c>
      <c r="T16" s="29"/>
      <c r="U16" s="29">
        <f>SUM(U13:U15)</f>
        <v>35520</v>
      </c>
      <c r="V16" s="29"/>
      <c r="W16" s="29">
        <f>SUM(W13:W15)</f>
        <v>35520</v>
      </c>
      <c r="X16" s="29"/>
      <c r="Y16" s="29">
        <f>SUM(Y13:Y15)</f>
        <v>35520</v>
      </c>
      <c r="Z16" s="29"/>
      <c r="AA16" s="29">
        <f>SUM(C16:Y16)</f>
        <v>426240</v>
      </c>
      <c r="AD16" s="55" t="s">
        <v>83</v>
      </c>
      <c r="AE16" s="80"/>
      <c r="AF16" s="66" t="s">
        <v>84</v>
      </c>
      <c r="AG16" s="66" t="s">
        <v>85</v>
      </c>
      <c r="AH16" s="64"/>
    </row>
    <row r="17" spans="2:34" x14ac:dyDescent="0.35"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D17" s="50" t="s">
        <v>36</v>
      </c>
      <c r="AE17" s="79"/>
      <c r="AF17" s="175">
        <f>'5 Year Plan'!D65</f>
        <v>0.1</v>
      </c>
      <c r="AG17" s="155">
        <f>'5 Year Plan'!D64</f>
        <v>0.4</v>
      </c>
      <c r="AH17" s="67"/>
    </row>
    <row r="18" spans="2:34" x14ac:dyDescent="0.35">
      <c r="B18" s="9" t="str">
        <f>CONCATENATE("    ","Distribution/Marketing")</f>
        <v xml:space="preserve">    Distribution/Marketing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D18" s="50"/>
      <c r="AE18" s="79"/>
      <c r="AF18" s="65"/>
      <c r="AG18" s="65"/>
      <c r="AH18" s="67"/>
    </row>
    <row r="19" spans="2:34" x14ac:dyDescent="0.35">
      <c r="B19" s="9" t="str">
        <f>CONCATENATE("        ",'Income Statem_2006'!AD17)</f>
        <v xml:space="preserve">        Salesperson</v>
      </c>
      <c r="C19" s="27">
        <f>C8*$AF$17*$AG$17</f>
        <v>3625.3700000000008</v>
      </c>
      <c r="D19" s="27"/>
      <c r="E19" s="27">
        <f>E8*$AF$17*$AG$17</f>
        <v>3625.3700000000008</v>
      </c>
      <c r="F19" s="27"/>
      <c r="G19" s="27">
        <f>G8*$AF$17*$AG$17</f>
        <v>3625.3700000000008</v>
      </c>
      <c r="H19" s="27"/>
      <c r="I19" s="27">
        <f>I8*$AF$17*$AG$17</f>
        <v>3999.3</v>
      </c>
      <c r="J19" s="27"/>
      <c r="K19" s="27">
        <f>K8*$AF$17*$AG$17</f>
        <v>3999.3</v>
      </c>
      <c r="L19" s="27"/>
      <c r="M19" s="27">
        <f>M8*$AF$17*$AG$17</f>
        <v>3999.3</v>
      </c>
      <c r="N19" s="27"/>
      <c r="O19" s="27">
        <f>O8*$AF$17*$AG$17</f>
        <v>3999.3</v>
      </c>
      <c r="P19" s="27"/>
      <c r="Q19" s="27">
        <f>Q8*$AF$17*$AG$17</f>
        <v>3999.3</v>
      </c>
      <c r="R19" s="27"/>
      <c r="S19" s="27">
        <f>S8*$AF$17*$AG$17</f>
        <v>3999.3</v>
      </c>
      <c r="T19" s="27"/>
      <c r="U19" s="27">
        <f>U8*$AF$17*$AG$17</f>
        <v>4373.2300000000014</v>
      </c>
      <c r="V19" s="27"/>
      <c r="W19" s="27">
        <f>W8*$AF$17*$AG$17</f>
        <v>4373.2300000000014</v>
      </c>
      <c r="X19" s="27"/>
      <c r="Y19" s="27">
        <f>Y8*$AF$17*$AG$17</f>
        <v>4373.2300000000014</v>
      </c>
      <c r="Z19" s="27"/>
      <c r="AA19" s="27">
        <f>SUM(C19:Y19)</f>
        <v>47991.600000000013</v>
      </c>
      <c r="AD19" s="55" t="s">
        <v>66</v>
      </c>
      <c r="AE19" s="80"/>
      <c r="AF19" s="66" t="s">
        <v>69</v>
      </c>
      <c r="AG19" s="66"/>
      <c r="AH19" s="68"/>
    </row>
    <row r="20" spans="2:34" x14ac:dyDescent="0.35">
      <c r="B20" s="9" t="str">
        <f>CONCATENATE("        ",'Income Statem_2006'!AD20)</f>
        <v xml:space="preserve">        Travel Expenses (Road Shows)</v>
      </c>
      <c r="C20" s="27">
        <f>AG20</f>
        <v>3428.5714285714289</v>
      </c>
      <c r="D20" s="27"/>
      <c r="E20" s="27">
        <f>C20</f>
        <v>3428.5714285714289</v>
      </c>
      <c r="F20" s="27"/>
      <c r="G20" s="27">
        <f>E20</f>
        <v>3428.5714285714289</v>
      </c>
      <c r="H20" s="27"/>
      <c r="I20" s="27">
        <f>G20</f>
        <v>3428.5714285714289</v>
      </c>
      <c r="J20" s="27"/>
      <c r="K20" s="27">
        <f>I20</f>
        <v>3428.5714285714289</v>
      </c>
      <c r="L20" s="27"/>
      <c r="M20" s="27">
        <f>K20</f>
        <v>3428.5714285714289</v>
      </c>
      <c r="N20" s="27"/>
      <c r="O20" s="27">
        <f>M20</f>
        <v>3428.5714285714289</v>
      </c>
      <c r="P20" s="27"/>
      <c r="Q20" s="27">
        <f>O20</f>
        <v>3428.5714285714289</v>
      </c>
      <c r="R20" s="27"/>
      <c r="S20" s="27">
        <f>Q20</f>
        <v>3428.5714285714289</v>
      </c>
      <c r="T20" s="27"/>
      <c r="U20" s="27">
        <f>S20</f>
        <v>3428.5714285714289</v>
      </c>
      <c r="V20" s="27"/>
      <c r="W20" s="27">
        <f>U20</f>
        <v>3428.5714285714289</v>
      </c>
      <c r="X20" s="27"/>
      <c r="Y20" s="27">
        <f>W20</f>
        <v>3428.5714285714289</v>
      </c>
      <c r="Z20" s="27"/>
      <c r="AA20" s="27">
        <f>Y20</f>
        <v>3428.5714285714289</v>
      </c>
      <c r="AD20" s="50" t="s">
        <v>40</v>
      </c>
      <c r="AE20" s="81"/>
      <c r="AF20" s="153">
        <f>'5 Year Plan'!D107</f>
        <v>41142.857142857145</v>
      </c>
      <c r="AG20" s="60">
        <f>AF20/12</f>
        <v>3428.5714285714289</v>
      </c>
      <c r="AH20" s="67"/>
    </row>
    <row r="21" spans="2:34" x14ac:dyDescent="0.35">
      <c r="B21" s="9" t="str">
        <f>CONCATENATE("        ",'Income Statem_2006'!AD21)</f>
        <v xml:space="preserve">        Expenses for Online-Marketing</v>
      </c>
      <c r="C21" s="28">
        <f>AG21</f>
        <v>3605.3333333333335</v>
      </c>
      <c r="D21" s="27"/>
      <c r="E21" s="28">
        <f>C21</f>
        <v>3605.3333333333335</v>
      </c>
      <c r="F21" s="27"/>
      <c r="G21" s="28">
        <f>E21</f>
        <v>3605.3333333333335</v>
      </c>
      <c r="H21" s="27"/>
      <c r="I21" s="28">
        <f>G21</f>
        <v>3605.3333333333335</v>
      </c>
      <c r="J21" s="27"/>
      <c r="K21" s="28">
        <f>I21</f>
        <v>3605.3333333333335</v>
      </c>
      <c r="L21" s="27"/>
      <c r="M21" s="28">
        <f>K21</f>
        <v>3605.3333333333335</v>
      </c>
      <c r="N21" s="27"/>
      <c r="O21" s="28">
        <f>M21</f>
        <v>3605.3333333333335</v>
      </c>
      <c r="P21" s="27"/>
      <c r="Q21" s="28">
        <f>O21</f>
        <v>3605.3333333333335</v>
      </c>
      <c r="R21" s="27"/>
      <c r="S21" s="28">
        <f>Q21</f>
        <v>3605.3333333333335</v>
      </c>
      <c r="T21" s="27"/>
      <c r="U21" s="28">
        <f>S21</f>
        <v>3605.3333333333335</v>
      </c>
      <c r="V21" s="27"/>
      <c r="W21" s="28">
        <f>U21</f>
        <v>3605.3333333333335</v>
      </c>
      <c r="X21" s="27"/>
      <c r="Y21" s="28">
        <f>W21</f>
        <v>3605.3333333333335</v>
      </c>
      <c r="Z21" s="27"/>
      <c r="AA21" s="28">
        <f>SUM(C21:Y21)</f>
        <v>43264</v>
      </c>
      <c r="AD21" s="56" t="s">
        <v>49</v>
      </c>
      <c r="AE21" s="82"/>
      <c r="AF21" s="154">
        <f>'5 Year Plan'!D106</f>
        <v>43264</v>
      </c>
      <c r="AG21" s="63">
        <f>AF21/12</f>
        <v>3605.3333333333335</v>
      </c>
      <c r="AH21" s="68"/>
    </row>
    <row r="22" spans="2:34" ht="14.65" x14ac:dyDescent="0.6">
      <c r="B22" s="9" t="str">
        <f>CONCATENATE("    ",'Income Statem_2006'!AD22)</f>
        <v xml:space="preserve">    Total</v>
      </c>
      <c r="C22" s="29">
        <f>SUM(C19:C21)</f>
        <v>10659.274761904764</v>
      </c>
      <c r="D22" s="29"/>
      <c r="E22" s="29">
        <f>SUM(E19:E21)</f>
        <v>10659.274761904764</v>
      </c>
      <c r="F22" s="29"/>
      <c r="G22" s="29">
        <f>SUM(G19:G21)</f>
        <v>10659.274761904764</v>
      </c>
      <c r="H22" s="29"/>
      <c r="I22" s="29">
        <f>SUM(I19:I21)</f>
        <v>11033.204761904763</v>
      </c>
      <c r="J22" s="29"/>
      <c r="K22" s="29">
        <f>SUM(K19:K21)</f>
        <v>11033.204761904763</v>
      </c>
      <c r="L22" s="29"/>
      <c r="M22" s="29">
        <f>SUM(M19:M21)</f>
        <v>11033.204761904763</v>
      </c>
      <c r="N22" s="29"/>
      <c r="O22" s="29">
        <f>SUM(O19:O21)</f>
        <v>11033.204761904763</v>
      </c>
      <c r="P22" s="29"/>
      <c r="Q22" s="29">
        <f>SUM(Q19:Q21)</f>
        <v>11033.204761904763</v>
      </c>
      <c r="R22" s="29"/>
      <c r="S22" s="29">
        <f>SUM(S19:S21)</f>
        <v>11033.204761904763</v>
      </c>
      <c r="T22" s="29"/>
      <c r="U22" s="29">
        <f>SUM(U19:U21)</f>
        <v>11407.134761904765</v>
      </c>
      <c r="V22" s="29"/>
      <c r="W22" s="29">
        <f>SUM(W19:W21)</f>
        <v>11407.134761904765</v>
      </c>
      <c r="X22" s="29"/>
      <c r="Y22" s="29">
        <f>SUM(Y19:Y21)</f>
        <v>11407.134761904765</v>
      </c>
      <c r="Z22" s="29"/>
      <c r="AA22" s="29">
        <f>SUM(C22:Y22)</f>
        <v>132398.45714285717</v>
      </c>
      <c r="AD22" s="50" t="s">
        <v>47</v>
      </c>
      <c r="AE22" s="81"/>
      <c r="AF22" s="60">
        <f>SUM(AF20:AF21)</f>
        <v>84406.857142857145</v>
      </c>
      <c r="AG22" s="60">
        <f>SUM(AG20:AG21)</f>
        <v>7033.9047619047624</v>
      </c>
      <c r="AH22" s="67"/>
    </row>
    <row r="23" spans="2:34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81"/>
      <c r="AF23" s="60"/>
      <c r="AG23" s="60"/>
      <c r="AH23" s="67"/>
    </row>
    <row r="24" spans="2:34" x14ac:dyDescent="0.35">
      <c r="B24" s="9" t="str">
        <f>CONCATENATE("    ",'Income Statem_2006'!AD24)</f>
        <v xml:space="preserve">    General and Administrativ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5" t="s">
        <v>41</v>
      </c>
      <c r="AE24" s="82"/>
      <c r="AF24" s="69" t="s">
        <v>69</v>
      </c>
      <c r="AG24" s="69" t="s">
        <v>68</v>
      </c>
      <c r="AH24" s="70" t="s">
        <v>91</v>
      </c>
    </row>
    <row r="25" spans="2:34" x14ac:dyDescent="0.35">
      <c r="B25" s="9" t="str">
        <f>CONCATENATE("        ",'Income Statem_2006'!AD25)</f>
        <v xml:space="preserve">        Office Rent</v>
      </c>
      <c r="C25" s="27">
        <f t="shared" ref="C25:C31" si="0">AG25</f>
        <v>6489.5999999999995</v>
      </c>
      <c r="D25" s="27"/>
      <c r="E25" s="27">
        <f t="shared" ref="E25:E31" si="1">C25</f>
        <v>6489.5999999999995</v>
      </c>
      <c r="F25" s="27"/>
      <c r="G25" s="27">
        <f t="shared" ref="G25:G31" si="2">E25</f>
        <v>6489.5999999999995</v>
      </c>
      <c r="H25" s="27"/>
      <c r="I25" s="27">
        <f t="shared" ref="I25:I31" si="3">G25</f>
        <v>6489.5999999999995</v>
      </c>
      <c r="J25" s="27"/>
      <c r="K25" s="27">
        <f t="shared" ref="K25:K31" si="4">I25</f>
        <v>6489.5999999999995</v>
      </c>
      <c r="L25" s="27"/>
      <c r="M25" s="27">
        <f t="shared" ref="M25:M31" si="5">K25</f>
        <v>6489.5999999999995</v>
      </c>
      <c r="N25" s="27"/>
      <c r="O25" s="27">
        <f t="shared" ref="O25:O31" si="6">M25</f>
        <v>6489.5999999999995</v>
      </c>
      <c r="P25" s="27"/>
      <c r="Q25" s="27">
        <f t="shared" ref="Q25:Q31" si="7">O25</f>
        <v>6489.5999999999995</v>
      </c>
      <c r="R25" s="27"/>
      <c r="S25" s="27">
        <f t="shared" ref="S25:S31" si="8">Q25</f>
        <v>6489.5999999999995</v>
      </c>
      <c r="T25" s="27"/>
      <c r="U25" s="27">
        <f t="shared" ref="U25:U31" si="9">S25</f>
        <v>6489.5999999999995</v>
      </c>
      <c r="V25" s="27"/>
      <c r="W25" s="27">
        <f t="shared" ref="W25:W31" si="10">U25</f>
        <v>6489.5999999999995</v>
      </c>
      <c r="X25" s="27"/>
      <c r="Y25" s="27">
        <f t="shared" ref="Y25:Y31" si="11">W25</f>
        <v>6489.5999999999995</v>
      </c>
      <c r="Z25" s="27"/>
      <c r="AA25" s="27">
        <f t="shared" ref="AA25:AA32" si="12">SUM(C25:Y25)</f>
        <v>77875.199999999997</v>
      </c>
      <c r="AD25" s="50" t="s">
        <v>35</v>
      </c>
      <c r="AE25" s="81"/>
      <c r="AF25" s="153">
        <f>'5 Year Plan'!D109</f>
        <v>77875.199999999997</v>
      </c>
      <c r="AG25" s="60">
        <f t="shared" ref="AG25:AG31" si="13">AF25/12</f>
        <v>6489.5999999999995</v>
      </c>
      <c r="AH25" s="61"/>
    </row>
    <row r="26" spans="2:34" x14ac:dyDescent="0.35">
      <c r="B26" s="9" t="str">
        <f>CONCATENATE("        ",'Income Statem_2006'!AD26)</f>
        <v xml:space="preserve">        Telephone/Internet</v>
      </c>
      <c r="C26" s="27">
        <f t="shared" si="0"/>
        <v>2163.2000000000003</v>
      </c>
      <c r="D26" s="27"/>
      <c r="E26" s="27">
        <f t="shared" si="1"/>
        <v>2163.2000000000003</v>
      </c>
      <c r="F26" s="27"/>
      <c r="G26" s="27">
        <f t="shared" si="2"/>
        <v>2163.2000000000003</v>
      </c>
      <c r="H26" s="27"/>
      <c r="I26" s="27">
        <f t="shared" si="3"/>
        <v>2163.2000000000003</v>
      </c>
      <c r="J26" s="27"/>
      <c r="K26" s="27">
        <f t="shared" si="4"/>
        <v>2163.2000000000003</v>
      </c>
      <c r="L26" s="27"/>
      <c r="M26" s="27">
        <f t="shared" si="5"/>
        <v>2163.2000000000003</v>
      </c>
      <c r="N26" s="27"/>
      <c r="O26" s="27">
        <f t="shared" si="6"/>
        <v>2163.2000000000003</v>
      </c>
      <c r="P26" s="27"/>
      <c r="Q26" s="27">
        <f t="shared" si="7"/>
        <v>2163.2000000000003</v>
      </c>
      <c r="R26" s="27"/>
      <c r="S26" s="27">
        <f t="shared" si="8"/>
        <v>2163.2000000000003</v>
      </c>
      <c r="T26" s="27"/>
      <c r="U26" s="27">
        <f t="shared" si="9"/>
        <v>2163.2000000000003</v>
      </c>
      <c r="V26" s="27"/>
      <c r="W26" s="27">
        <f t="shared" si="10"/>
        <v>2163.2000000000003</v>
      </c>
      <c r="X26" s="27"/>
      <c r="Y26" s="27">
        <f t="shared" si="11"/>
        <v>2163.2000000000003</v>
      </c>
      <c r="Z26" s="27"/>
      <c r="AA26" s="27">
        <f t="shared" si="12"/>
        <v>25958.400000000005</v>
      </c>
      <c r="AD26" s="50" t="s">
        <v>42</v>
      </c>
      <c r="AE26" s="81"/>
      <c r="AF26" s="153">
        <f>'5 Year Plan'!D110</f>
        <v>25958.400000000001</v>
      </c>
      <c r="AG26" s="60">
        <f t="shared" si="13"/>
        <v>2163.2000000000003</v>
      </c>
      <c r="AH26" s="61"/>
    </row>
    <row r="27" spans="2:34" x14ac:dyDescent="0.35">
      <c r="B27" s="9" t="str">
        <f>CONCATENATE("        ",'Income Statem_2006'!AD27)</f>
        <v xml:space="preserve">        Office Supplies</v>
      </c>
      <c r="C27" s="27">
        <f t="shared" si="0"/>
        <v>432.64000000000004</v>
      </c>
      <c r="D27" s="27"/>
      <c r="E27" s="27">
        <f t="shared" si="1"/>
        <v>432.64000000000004</v>
      </c>
      <c r="F27" s="27"/>
      <c r="G27" s="27">
        <f t="shared" si="2"/>
        <v>432.64000000000004</v>
      </c>
      <c r="H27" s="27"/>
      <c r="I27" s="27">
        <f t="shared" si="3"/>
        <v>432.64000000000004</v>
      </c>
      <c r="J27" s="27"/>
      <c r="K27" s="27">
        <f t="shared" si="4"/>
        <v>432.64000000000004</v>
      </c>
      <c r="L27" s="27"/>
      <c r="M27" s="27">
        <f t="shared" si="5"/>
        <v>432.64000000000004</v>
      </c>
      <c r="N27" s="27"/>
      <c r="O27" s="27">
        <f t="shared" si="6"/>
        <v>432.64000000000004</v>
      </c>
      <c r="P27" s="27"/>
      <c r="Q27" s="27">
        <f t="shared" si="7"/>
        <v>432.64000000000004</v>
      </c>
      <c r="R27" s="27"/>
      <c r="S27" s="27">
        <f t="shared" si="8"/>
        <v>432.64000000000004</v>
      </c>
      <c r="T27" s="27"/>
      <c r="U27" s="27">
        <f t="shared" si="9"/>
        <v>432.64000000000004</v>
      </c>
      <c r="V27" s="27"/>
      <c r="W27" s="27">
        <f t="shared" si="10"/>
        <v>432.64000000000004</v>
      </c>
      <c r="X27" s="27"/>
      <c r="Y27" s="27">
        <f t="shared" si="11"/>
        <v>432.64000000000004</v>
      </c>
      <c r="Z27" s="27"/>
      <c r="AA27" s="27">
        <f t="shared" si="12"/>
        <v>5191.68</v>
      </c>
      <c r="AD27" s="50" t="s">
        <v>39</v>
      </c>
      <c r="AE27" s="81"/>
      <c r="AF27" s="153">
        <f>'5 Year Plan'!D111</f>
        <v>5191.68</v>
      </c>
      <c r="AG27" s="60">
        <f t="shared" si="13"/>
        <v>432.64000000000004</v>
      </c>
      <c r="AH27" s="61"/>
    </row>
    <row r="28" spans="2:34" x14ac:dyDescent="0.35">
      <c r="B28" s="9" t="str">
        <f>CONCATENATE("        ",'Income Statem_2006'!AD28)</f>
        <v xml:space="preserve">        Legal Counseling</v>
      </c>
      <c r="C28" s="27">
        <f t="shared" si="0"/>
        <v>594.88</v>
      </c>
      <c r="D28" s="27"/>
      <c r="E28" s="27">
        <f t="shared" si="1"/>
        <v>594.88</v>
      </c>
      <c r="F28" s="27"/>
      <c r="G28" s="27">
        <f t="shared" si="2"/>
        <v>594.88</v>
      </c>
      <c r="H28" s="27"/>
      <c r="I28" s="27">
        <f t="shared" si="3"/>
        <v>594.88</v>
      </c>
      <c r="J28" s="27"/>
      <c r="K28" s="27">
        <f t="shared" si="4"/>
        <v>594.88</v>
      </c>
      <c r="L28" s="27"/>
      <c r="M28" s="27">
        <f t="shared" si="5"/>
        <v>594.88</v>
      </c>
      <c r="N28" s="27"/>
      <c r="O28" s="27">
        <f t="shared" si="6"/>
        <v>594.88</v>
      </c>
      <c r="P28" s="27"/>
      <c r="Q28" s="27">
        <f t="shared" si="7"/>
        <v>594.88</v>
      </c>
      <c r="R28" s="27"/>
      <c r="S28" s="27">
        <f t="shared" si="8"/>
        <v>594.88</v>
      </c>
      <c r="T28" s="27"/>
      <c r="U28" s="27">
        <f t="shared" si="9"/>
        <v>594.88</v>
      </c>
      <c r="V28" s="27"/>
      <c r="W28" s="27">
        <f t="shared" si="10"/>
        <v>594.88</v>
      </c>
      <c r="X28" s="27"/>
      <c r="Y28" s="27">
        <f t="shared" si="11"/>
        <v>594.88</v>
      </c>
      <c r="Z28" s="27"/>
      <c r="AA28" s="27">
        <f t="shared" si="12"/>
        <v>7138.56</v>
      </c>
      <c r="AD28" s="50" t="s">
        <v>43</v>
      </c>
      <c r="AE28" s="81"/>
      <c r="AF28" s="153">
        <f>'5 Year Plan'!D112</f>
        <v>7138.56</v>
      </c>
      <c r="AG28" s="60">
        <f t="shared" si="13"/>
        <v>594.88</v>
      </c>
      <c r="AH28" s="61"/>
    </row>
    <row r="29" spans="2:34" x14ac:dyDescent="0.35">
      <c r="B29" s="9" t="str">
        <f>CONCATENATE("        ",'Income Statem_2006'!AD29)</f>
        <v xml:space="preserve">        Audit Fee</v>
      </c>
      <c r="C29" s="27">
        <f t="shared" si="0"/>
        <v>703.04</v>
      </c>
      <c r="D29" s="27"/>
      <c r="E29" s="27">
        <f t="shared" si="1"/>
        <v>703.04</v>
      </c>
      <c r="F29" s="27"/>
      <c r="G29" s="27">
        <f t="shared" si="2"/>
        <v>703.04</v>
      </c>
      <c r="H29" s="27"/>
      <c r="I29" s="27">
        <f t="shared" si="3"/>
        <v>703.04</v>
      </c>
      <c r="J29" s="27"/>
      <c r="K29" s="27">
        <f t="shared" si="4"/>
        <v>703.04</v>
      </c>
      <c r="L29" s="27"/>
      <c r="M29" s="27">
        <f t="shared" si="5"/>
        <v>703.04</v>
      </c>
      <c r="N29" s="27"/>
      <c r="O29" s="27">
        <f t="shared" si="6"/>
        <v>703.04</v>
      </c>
      <c r="P29" s="27"/>
      <c r="Q29" s="27">
        <f t="shared" si="7"/>
        <v>703.04</v>
      </c>
      <c r="R29" s="27"/>
      <c r="S29" s="27">
        <f t="shared" si="8"/>
        <v>703.04</v>
      </c>
      <c r="T29" s="27"/>
      <c r="U29" s="27">
        <f t="shared" si="9"/>
        <v>703.04</v>
      </c>
      <c r="V29" s="27"/>
      <c r="W29" s="27">
        <f t="shared" si="10"/>
        <v>703.04</v>
      </c>
      <c r="X29" s="27"/>
      <c r="Y29" s="27">
        <f t="shared" si="11"/>
        <v>703.04</v>
      </c>
      <c r="Z29" s="27"/>
      <c r="AA29" s="27">
        <f t="shared" si="12"/>
        <v>8436.48</v>
      </c>
      <c r="AD29" s="50" t="s">
        <v>55</v>
      </c>
      <c r="AE29" s="81"/>
      <c r="AF29" s="153">
        <f>'5 Year Plan'!D113</f>
        <v>8436.48</v>
      </c>
      <c r="AG29" s="60">
        <f t="shared" si="13"/>
        <v>703.04</v>
      </c>
      <c r="AH29" s="61"/>
    </row>
    <row r="30" spans="2:34" x14ac:dyDescent="0.35">
      <c r="B30" s="9" t="str">
        <f>CONCATENATE("        ",'Income Statem_2006'!AD30)</f>
        <v xml:space="preserve">        Insurance</v>
      </c>
      <c r="C30" s="27">
        <f t="shared" si="0"/>
        <v>1081.6000000000001</v>
      </c>
      <c r="D30" s="27"/>
      <c r="E30" s="27">
        <f t="shared" si="1"/>
        <v>1081.6000000000001</v>
      </c>
      <c r="F30" s="27"/>
      <c r="G30" s="27">
        <f t="shared" si="2"/>
        <v>1081.6000000000001</v>
      </c>
      <c r="H30" s="27"/>
      <c r="I30" s="27">
        <f t="shared" si="3"/>
        <v>1081.6000000000001</v>
      </c>
      <c r="J30" s="27"/>
      <c r="K30" s="27">
        <f t="shared" si="4"/>
        <v>1081.6000000000001</v>
      </c>
      <c r="L30" s="27"/>
      <c r="M30" s="27">
        <f t="shared" si="5"/>
        <v>1081.6000000000001</v>
      </c>
      <c r="N30" s="27"/>
      <c r="O30" s="27">
        <f t="shared" si="6"/>
        <v>1081.6000000000001</v>
      </c>
      <c r="P30" s="27"/>
      <c r="Q30" s="27">
        <f t="shared" si="7"/>
        <v>1081.6000000000001</v>
      </c>
      <c r="R30" s="27"/>
      <c r="S30" s="27">
        <f t="shared" si="8"/>
        <v>1081.6000000000001</v>
      </c>
      <c r="T30" s="27"/>
      <c r="U30" s="27">
        <f t="shared" si="9"/>
        <v>1081.6000000000001</v>
      </c>
      <c r="V30" s="27"/>
      <c r="W30" s="27">
        <f t="shared" si="10"/>
        <v>1081.6000000000001</v>
      </c>
      <c r="X30" s="27"/>
      <c r="Y30" s="27">
        <f t="shared" si="11"/>
        <v>1081.6000000000001</v>
      </c>
      <c r="Z30" s="27"/>
      <c r="AA30" s="27">
        <f t="shared" si="12"/>
        <v>12979.200000000003</v>
      </c>
      <c r="AD30" s="50" t="s">
        <v>46</v>
      </c>
      <c r="AE30" s="81"/>
      <c r="AF30" s="153">
        <f>'5 Year Plan'!D114</f>
        <v>12979.2</v>
      </c>
      <c r="AG30" s="60">
        <f t="shared" si="13"/>
        <v>1081.6000000000001</v>
      </c>
      <c r="AH30" s="61"/>
    </row>
    <row r="31" spans="2:34" x14ac:dyDescent="0.35">
      <c r="B31" s="9" t="str">
        <f>CONCATENATE("        ",'Income Statem_2006'!AD31)</f>
        <v xml:space="preserve">        Payroll Taxes and Employee Benefits</v>
      </c>
      <c r="C31" s="28">
        <f t="shared" si="0"/>
        <v>8880</v>
      </c>
      <c r="D31" s="27"/>
      <c r="E31" s="28">
        <f t="shared" si="1"/>
        <v>8880</v>
      </c>
      <c r="F31" s="27"/>
      <c r="G31" s="28">
        <f t="shared" si="2"/>
        <v>8880</v>
      </c>
      <c r="H31" s="27"/>
      <c r="I31" s="28">
        <f t="shared" si="3"/>
        <v>8880</v>
      </c>
      <c r="J31" s="27"/>
      <c r="K31" s="28">
        <f t="shared" si="4"/>
        <v>8880</v>
      </c>
      <c r="L31" s="27"/>
      <c r="M31" s="28">
        <f t="shared" si="5"/>
        <v>8880</v>
      </c>
      <c r="N31" s="27"/>
      <c r="O31" s="28">
        <f t="shared" si="6"/>
        <v>8880</v>
      </c>
      <c r="P31" s="27"/>
      <c r="Q31" s="28">
        <f t="shared" si="7"/>
        <v>8880</v>
      </c>
      <c r="R31" s="27"/>
      <c r="S31" s="28">
        <f t="shared" si="8"/>
        <v>8880</v>
      </c>
      <c r="T31" s="27"/>
      <c r="U31" s="28">
        <f t="shared" si="9"/>
        <v>8880</v>
      </c>
      <c r="V31" s="27"/>
      <c r="W31" s="28">
        <f t="shared" si="10"/>
        <v>8880</v>
      </c>
      <c r="X31" s="27"/>
      <c r="Y31" s="28">
        <f t="shared" si="11"/>
        <v>8880</v>
      </c>
      <c r="Z31" s="27"/>
      <c r="AA31" s="28">
        <f t="shared" si="12"/>
        <v>106560</v>
      </c>
      <c r="AD31" s="56" t="s">
        <v>48</v>
      </c>
      <c r="AE31" s="82"/>
      <c r="AF31" s="63">
        <f>'5 Year Plan'!D103</f>
        <v>106560</v>
      </c>
      <c r="AG31" s="63">
        <f t="shared" si="13"/>
        <v>8880</v>
      </c>
      <c r="AH31" s="157">
        <f>'5 Year Plan'!D62</f>
        <v>0.2</v>
      </c>
    </row>
    <row r="32" spans="2:34" ht="14.65" x14ac:dyDescent="0.6">
      <c r="B32" s="9" t="str">
        <f>CONCATENATE("    ",'Income Statem_2006'!AD32)</f>
        <v xml:space="preserve">    Total</v>
      </c>
      <c r="C32" s="29">
        <f>SUM(C25:C31)</f>
        <v>20344.96</v>
      </c>
      <c r="D32" s="29"/>
      <c r="E32" s="29">
        <f>SUM(E25:E31)</f>
        <v>20344.96</v>
      </c>
      <c r="F32" s="29"/>
      <c r="G32" s="29">
        <f>SUM(G25:G31)</f>
        <v>20344.96</v>
      </c>
      <c r="H32" s="29"/>
      <c r="I32" s="29">
        <f>SUM(I25:I31)</f>
        <v>20344.96</v>
      </c>
      <c r="J32" s="29"/>
      <c r="K32" s="29">
        <f>SUM(K25:K31)</f>
        <v>20344.96</v>
      </c>
      <c r="L32" s="29"/>
      <c r="M32" s="29">
        <f>SUM(M25:M31)</f>
        <v>20344.96</v>
      </c>
      <c r="N32" s="29"/>
      <c r="O32" s="29">
        <f>SUM(O25:O31)</f>
        <v>20344.96</v>
      </c>
      <c r="P32" s="29"/>
      <c r="Q32" s="29">
        <f>SUM(Q25:Q31)</f>
        <v>20344.96</v>
      </c>
      <c r="R32" s="29"/>
      <c r="S32" s="29">
        <f>SUM(S25:S31)</f>
        <v>20344.96</v>
      </c>
      <c r="T32" s="29"/>
      <c r="U32" s="29">
        <f>SUM(U25:U31)</f>
        <v>20344.96</v>
      </c>
      <c r="V32" s="29"/>
      <c r="W32" s="29">
        <f>SUM(W25:W31)</f>
        <v>20344.96</v>
      </c>
      <c r="X32" s="29"/>
      <c r="Y32" s="29">
        <f>SUM(Y25:Y31)</f>
        <v>20344.96</v>
      </c>
      <c r="Z32" s="29"/>
      <c r="AA32" s="29">
        <f t="shared" si="12"/>
        <v>244139.51999999993</v>
      </c>
      <c r="AD32" s="50" t="s">
        <v>47</v>
      </c>
      <c r="AE32" s="81"/>
      <c r="AF32" s="60">
        <f>SUM(AF25:AF31)</f>
        <v>244139.51999999999</v>
      </c>
      <c r="AG32" s="60">
        <f>SUM(AG25:AG31)</f>
        <v>20344.96</v>
      </c>
      <c r="AH32" s="67"/>
    </row>
    <row r="33" spans="2:34" x14ac:dyDescent="0.35"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D33" s="50"/>
      <c r="AE33" s="81"/>
      <c r="AF33" s="60"/>
      <c r="AG33" s="60"/>
      <c r="AH33" s="67"/>
    </row>
    <row r="34" spans="2:34" x14ac:dyDescent="0.35">
      <c r="B34" s="9" t="str">
        <f>CONCATENATE("    ",'Income Statem_2006'!AD34)</f>
        <v xml:space="preserve">    Depreciation and Amortisation</v>
      </c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D34" s="55" t="s">
        <v>44</v>
      </c>
      <c r="AE34" s="83" t="s">
        <v>87</v>
      </c>
      <c r="AF34" s="69" t="s">
        <v>69</v>
      </c>
      <c r="AG34" s="69" t="s">
        <v>68</v>
      </c>
      <c r="AH34" s="70" t="s">
        <v>88</v>
      </c>
    </row>
    <row r="35" spans="2:34" x14ac:dyDescent="0.35">
      <c r="B35" s="9" t="str">
        <f>CONCATENATE("        ",'Income Statem_2006'!AD35)</f>
        <v xml:space="preserve">        Computer/Server</v>
      </c>
      <c r="C35" s="27">
        <f>AG35</f>
        <v>458.33333333333331</v>
      </c>
      <c r="D35" s="27"/>
      <c r="E35" s="27">
        <f>C35</f>
        <v>458.33333333333331</v>
      </c>
      <c r="F35" s="27"/>
      <c r="G35" s="27">
        <f>E35</f>
        <v>458.33333333333331</v>
      </c>
      <c r="H35" s="27"/>
      <c r="I35" s="27">
        <f>G35</f>
        <v>458.33333333333331</v>
      </c>
      <c r="J35" s="27"/>
      <c r="K35" s="27">
        <f>I35</f>
        <v>458.33333333333331</v>
      </c>
      <c r="L35" s="27"/>
      <c r="M35" s="27">
        <f>K35</f>
        <v>458.33333333333331</v>
      </c>
      <c r="N35" s="27"/>
      <c r="O35" s="27">
        <f>M35</f>
        <v>458.33333333333331</v>
      </c>
      <c r="P35" s="27"/>
      <c r="Q35" s="27">
        <f>O35</f>
        <v>458.33333333333331</v>
      </c>
      <c r="R35" s="27"/>
      <c r="S35" s="27">
        <f>Q35</f>
        <v>458.33333333333331</v>
      </c>
      <c r="T35" s="27"/>
      <c r="U35" s="27">
        <f>S35</f>
        <v>458.33333333333331</v>
      </c>
      <c r="V35" s="27"/>
      <c r="W35" s="27">
        <f>U35</f>
        <v>458.33333333333331</v>
      </c>
      <c r="X35" s="27"/>
      <c r="Y35" s="27">
        <f>W35</f>
        <v>458.33333333333331</v>
      </c>
      <c r="Z35" s="27"/>
      <c r="AA35" s="27">
        <f>SUM(C35:Y35)</f>
        <v>5499.9999999999991</v>
      </c>
      <c r="AD35" s="50" t="s">
        <v>45</v>
      </c>
      <c r="AE35" s="84">
        <f>'5 Year Plan'!B128</f>
        <v>22000</v>
      </c>
      <c r="AF35" s="73">
        <f>'5 Year Plan'!D116</f>
        <v>5500</v>
      </c>
      <c r="AG35" s="73">
        <f>IF(AH35&gt;=2,AF35/12,"")</f>
        <v>458.33333333333331</v>
      </c>
      <c r="AH35" s="74">
        <f>'5 Year Plan'!C128</f>
        <v>4</v>
      </c>
    </row>
    <row r="36" spans="2:34" x14ac:dyDescent="0.35">
      <c r="B36" s="9" t="str">
        <f>CONCATENATE("        ",'Income Statem_2006'!AD36)</f>
        <v xml:space="preserve">        Computer Equipment</v>
      </c>
      <c r="C36" s="27">
        <f>AG36</f>
        <v>166.66666666666666</v>
      </c>
      <c r="D36" s="27"/>
      <c r="E36" s="27">
        <f>C36</f>
        <v>166.66666666666666</v>
      </c>
      <c r="F36" s="27"/>
      <c r="G36" s="27">
        <f>E36</f>
        <v>166.66666666666666</v>
      </c>
      <c r="H36" s="27"/>
      <c r="I36" s="27">
        <f>G36</f>
        <v>166.66666666666666</v>
      </c>
      <c r="J36" s="27"/>
      <c r="K36" s="27">
        <f>I36</f>
        <v>166.66666666666666</v>
      </c>
      <c r="L36" s="27"/>
      <c r="M36" s="27">
        <f>K36</f>
        <v>166.66666666666666</v>
      </c>
      <c r="N36" s="27"/>
      <c r="O36" s="27">
        <f>M36</f>
        <v>166.66666666666666</v>
      </c>
      <c r="P36" s="27"/>
      <c r="Q36" s="27">
        <f>O36</f>
        <v>166.66666666666666</v>
      </c>
      <c r="R36" s="27"/>
      <c r="S36" s="27">
        <f>Q36</f>
        <v>166.66666666666666</v>
      </c>
      <c r="T36" s="27"/>
      <c r="U36" s="27">
        <f>S36</f>
        <v>166.66666666666666</v>
      </c>
      <c r="V36" s="27"/>
      <c r="W36" s="27">
        <f>U36</f>
        <v>166.66666666666666</v>
      </c>
      <c r="X36" s="27"/>
      <c r="Y36" s="27">
        <f>W36</f>
        <v>166.66666666666666</v>
      </c>
      <c r="Z36" s="27"/>
      <c r="AA36" s="27">
        <f>SUM(C36:Y36)</f>
        <v>2000.0000000000002</v>
      </c>
      <c r="AD36" s="50" t="s">
        <v>38</v>
      </c>
      <c r="AE36" s="85">
        <f>'5 Year Plan'!B129</f>
        <v>8000</v>
      </c>
      <c r="AF36" s="60">
        <f>'5 Year Plan'!D117</f>
        <v>2000</v>
      </c>
      <c r="AG36" s="60">
        <f>IF(AH36&gt;=2,AF36/12,"")</f>
        <v>166.66666666666666</v>
      </c>
      <c r="AH36" s="59">
        <f>'5 Year Plan'!C129</f>
        <v>4</v>
      </c>
    </row>
    <row r="37" spans="2:34" x14ac:dyDescent="0.35">
      <c r="B37" s="9" t="str">
        <f>CONCATENATE("        ",'Income Statem_2006'!AD37)</f>
        <v xml:space="preserve">        Office Furniture</v>
      </c>
      <c r="C37" s="28">
        <f>AG37</f>
        <v>0</v>
      </c>
      <c r="D37" s="27"/>
      <c r="E37" s="28">
        <f>C37</f>
        <v>0</v>
      </c>
      <c r="F37" s="27"/>
      <c r="G37" s="28">
        <f>E37</f>
        <v>0</v>
      </c>
      <c r="H37" s="27"/>
      <c r="I37" s="28">
        <f>G37</f>
        <v>0</v>
      </c>
      <c r="J37" s="27"/>
      <c r="K37" s="28">
        <f>I37</f>
        <v>0</v>
      </c>
      <c r="L37" s="27"/>
      <c r="M37" s="28">
        <f>K37</f>
        <v>0</v>
      </c>
      <c r="N37" s="27"/>
      <c r="O37" s="28">
        <f>M37</f>
        <v>0</v>
      </c>
      <c r="P37" s="27"/>
      <c r="Q37" s="28">
        <f>O37</f>
        <v>0</v>
      </c>
      <c r="R37" s="27"/>
      <c r="S37" s="28">
        <f>Q37</f>
        <v>0</v>
      </c>
      <c r="T37" s="27"/>
      <c r="U37" s="28">
        <f>S37</f>
        <v>0</v>
      </c>
      <c r="V37" s="27"/>
      <c r="W37" s="28">
        <f>U37</f>
        <v>0</v>
      </c>
      <c r="X37" s="27"/>
      <c r="Y37" s="28">
        <f>W37</f>
        <v>0</v>
      </c>
      <c r="Z37" s="27"/>
      <c r="AA37" s="28">
        <f>SUM(C37:Y37)</f>
        <v>0</v>
      </c>
      <c r="AD37" s="56" t="s">
        <v>37</v>
      </c>
      <c r="AE37" s="86">
        <f>'5 Year Plan'!B130</f>
        <v>50000</v>
      </c>
      <c r="AF37" s="63">
        <f>'5 Year Plan'!D118</f>
        <v>0</v>
      </c>
      <c r="AG37" s="63">
        <f>IF(AH37&gt;=2,AF37/12,"")</f>
        <v>0</v>
      </c>
      <c r="AH37" s="62">
        <f>'5 Year Plan'!C130</f>
        <v>2</v>
      </c>
    </row>
    <row r="38" spans="2:34" ht="14.65" x14ac:dyDescent="0.6">
      <c r="B38" s="9" t="str">
        <f>CONCATENATE("    ",'Income Statem_2006'!AD38)</f>
        <v xml:space="preserve">    Total</v>
      </c>
      <c r="C38" s="29">
        <f>SUM(C35:C37)</f>
        <v>625</v>
      </c>
      <c r="D38" s="29"/>
      <c r="E38" s="29">
        <f>SUM(E35:E37)</f>
        <v>625</v>
      </c>
      <c r="F38" s="29"/>
      <c r="G38" s="29">
        <f>SUM(G35:G37)</f>
        <v>625</v>
      </c>
      <c r="H38" s="29"/>
      <c r="I38" s="29">
        <f>SUM(I35:I37)</f>
        <v>625</v>
      </c>
      <c r="J38" s="29"/>
      <c r="K38" s="29">
        <f>SUM(K35:K37)</f>
        <v>625</v>
      </c>
      <c r="L38" s="29"/>
      <c r="M38" s="29">
        <f>SUM(M35:M37)</f>
        <v>625</v>
      </c>
      <c r="N38" s="29"/>
      <c r="O38" s="29">
        <f>SUM(O35:O37)</f>
        <v>625</v>
      </c>
      <c r="P38" s="29"/>
      <c r="Q38" s="29">
        <f>SUM(Q35:Q37)</f>
        <v>625</v>
      </c>
      <c r="R38" s="29"/>
      <c r="S38" s="29">
        <f>SUM(S35:S37)</f>
        <v>625</v>
      </c>
      <c r="T38" s="29"/>
      <c r="U38" s="29">
        <f>SUM(U35:U37)</f>
        <v>625</v>
      </c>
      <c r="V38" s="29"/>
      <c r="W38" s="29">
        <f>SUM(W35:W37)</f>
        <v>625</v>
      </c>
      <c r="X38" s="29"/>
      <c r="Y38" s="29">
        <f>SUM(Y35:Y37)</f>
        <v>625</v>
      </c>
      <c r="Z38" s="29"/>
      <c r="AA38" s="29">
        <f>SUM(C38:Y38)</f>
        <v>7500</v>
      </c>
      <c r="AD38" s="50" t="s">
        <v>47</v>
      </c>
      <c r="AE38" s="81">
        <f>SUM(AE35:AE37)</f>
        <v>80000</v>
      </c>
      <c r="AF38" s="60">
        <f>SUM(AF35:AF37)</f>
        <v>7500</v>
      </c>
      <c r="AG38" s="60">
        <f>SUM(AG35:AG37)</f>
        <v>625</v>
      </c>
      <c r="AH38" s="61"/>
    </row>
    <row r="39" spans="2:34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81"/>
      <c r="AF39" s="60"/>
      <c r="AG39" s="60"/>
      <c r="AH39" s="67"/>
    </row>
    <row r="40" spans="2:34" ht="13.5" x14ac:dyDescent="0.45">
      <c r="B40" s="9" t="s">
        <v>51</v>
      </c>
      <c r="C40" s="30">
        <f>C16+C22+C32+C38</f>
        <v>67149.234761904765</v>
      </c>
      <c r="D40" s="30"/>
      <c r="E40" s="30">
        <f>E16+E22+E32+E38</f>
        <v>67149.234761904765</v>
      </c>
      <c r="F40" s="30"/>
      <c r="G40" s="30">
        <f>G16+G22+G32+G38</f>
        <v>67149.234761904765</v>
      </c>
      <c r="H40" s="30"/>
      <c r="I40" s="30">
        <f>I16+I22+I32+I38</f>
        <v>67523.164761904773</v>
      </c>
      <c r="J40" s="30"/>
      <c r="K40" s="30">
        <f>K16+K22+K32+K38</f>
        <v>67523.164761904773</v>
      </c>
      <c r="L40" s="30"/>
      <c r="M40" s="30">
        <f>M16+M22+M32+M38</f>
        <v>67523.164761904773</v>
      </c>
      <c r="N40" s="30"/>
      <c r="O40" s="30">
        <f>O16+O22+O32+O38</f>
        <v>67523.164761904773</v>
      </c>
      <c r="P40" s="30"/>
      <c r="Q40" s="30">
        <f>Q16+Q22+Q32+Q38</f>
        <v>67523.164761904773</v>
      </c>
      <c r="R40" s="30"/>
      <c r="S40" s="30">
        <f>S16+S22+S32+S38</f>
        <v>67523.164761904773</v>
      </c>
      <c r="T40" s="30"/>
      <c r="U40" s="30">
        <f>U16+U22+U32+U38</f>
        <v>67897.094761904766</v>
      </c>
      <c r="V40" s="30"/>
      <c r="W40" s="30">
        <f>W16+W22+W32+W38</f>
        <v>67897.094761904766</v>
      </c>
      <c r="X40" s="30"/>
      <c r="Y40" s="30">
        <f>Y16+Y22+Y32+Y38</f>
        <v>67897.094761904766</v>
      </c>
      <c r="Z40" s="30"/>
      <c r="AA40" s="30">
        <f>SUM(C40:Y40)</f>
        <v>810277.97714285715</v>
      </c>
      <c r="AD40" s="55" t="s">
        <v>78</v>
      </c>
      <c r="AE40" s="83" t="s">
        <v>87</v>
      </c>
      <c r="AF40" s="69" t="s">
        <v>69</v>
      </c>
      <c r="AG40" s="69" t="s">
        <v>68</v>
      </c>
      <c r="AH40" s="70" t="s">
        <v>80</v>
      </c>
    </row>
    <row r="41" spans="2:34" ht="13.5" x14ac:dyDescent="0.45"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D41" s="50" t="s">
        <v>79</v>
      </c>
      <c r="AE41" s="81">
        <f>'5 Year Plan'!B134</f>
        <v>200000</v>
      </c>
      <c r="AF41" s="60">
        <f>'5 Year Plan'!D119</f>
        <v>20000</v>
      </c>
      <c r="AG41" s="60">
        <f>AF41/12</f>
        <v>1666.6666666666667</v>
      </c>
      <c r="AH41" s="72" t="e">
        <f>'5 Year Plan'!#REF!</f>
        <v>#REF!</v>
      </c>
    </row>
    <row r="42" spans="2:34" ht="13.5" x14ac:dyDescent="0.45">
      <c r="B42" s="9" t="s">
        <v>5</v>
      </c>
      <c r="C42" s="30">
        <f>C8-C40</f>
        <v>23485.015238095235</v>
      </c>
      <c r="D42" s="30"/>
      <c r="E42" s="30">
        <f>E8-E40</f>
        <v>23485.015238095235</v>
      </c>
      <c r="F42" s="30"/>
      <c r="G42" s="30">
        <f>G8-G40</f>
        <v>23485.015238095235</v>
      </c>
      <c r="H42" s="30"/>
      <c r="I42" s="30">
        <f>I8-I40</f>
        <v>32459.335238095227</v>
      </c>
      <c r="J42" s="30"/>
      <c r="K42" s="30">
        <f>K8-K40</f>
        <v>32459.335238095227</v>
      </c>
      <c r="L42" s="30"/>
      <c r="M42" s="30">
        <f>M8-M40</f>
        <v>32459.335238095227</v>
      </c>
      <c r="N42" s="30"/>
      <c r="O42" s="30">
        <f>O8-O40</f>
        <v>32459.335238095227</v>
      </c>
      <c r="P42" s="30"/>
      <c r="Q42" s="30">
        <f>Q8-Q40</f>
        <v>32459.335238095227</v>
      </c>
      <c r="R42" s="30"/>
      <c r="S42" s="30">
        <f>S8-S40</f>
        <v>32459.335238095227</v>
      </c>
      <c r="T42" s="30"/>
      <c r="U42" s="30">
        <f>U8-U40</f>
        <v>41433.655238095249</v>
      </c>
      <c r="V42" s="30"/>
      <c r="W42" s="30">
        <f>W8-W40</f>
        <v>41433.655238095249</v>
      </c>
      <c r="X42" s="30"/>
      <c r="Y42" s="30">
        <f>Y8-Y40</f>
        <v>41433.655238095249</v>
      </c>
      <c r="Z42" s="30"/>
      <c r="AA42" s="30">
        <f>AA8-AA40</f>
        <v>389512.02285714285</v>
      </c>
      <c r="AE42" s="163"/>
      <c r="AF42" s="164"/>
      <c r="AG42" s="164"/>
      <c r="AH42" s="165"/>
    </row>
    <row r="43" spans="2:34" ht="14.65" x14ac:dyDescent="0.6">
      <c r="B43" s="9" t="s">
        <v>77</v>
      </c>
      <c r="C43" s="29">
        <f>AG41</f>
        <v>1666.6666666666667</v>
      </c>
      <c r="D43" s="27"/>
      <c r="E43" s="29">
        <f>C43</f>
        <v>1666.6666666666667</v>
      </c>
      <c r="F43" s="27"/>
      <c r="G43" s="29">
        <f>E43</f>
        <v>1666.6666666666667</v>
      </c>
      <c r="H43" s="27"/>
      <c r="I43" s="29">
        <f>G43</f>
        <v>1666.6666666666667</v>
      </c>
      <c r="J43" s="27"/>
      <c r="K43" s="29">
        <f>I43</f>
        <v>1666.6666666666667</v>
      </c>
      <c r="L43" s="27"/>
      <c r="M43" s="29">
        <f>K43</f>
        <v>1666.6666666666667</v>
      </c>
      <c r="N43" s="27"/>
      <c r="O43" s="29">
        <f>M43</f>
        <v>1666.6666666666667</v>
      </c>
      <c r="P43" s="27"/>
      <c r="Q43" s="29">
        <f>O43</f>
        <v>1666.6666666666667</v>
      </c>
      <c r="R43" s="27"/>
      <c r="S43" s="29">
        <f>Q43</f>
        <v>1666.6666666666667</v>
      </c>
      <c r="T43" s="27"/>
      <c r="U43" s="29">
        <f>S43</f>
        <v>1666.6666666666667</v>
      </c>
      <c r="V43" s="27"/>
      <c r="W43" s="29">
        <f>U43</f>
        <v>1666.6666666666667</v>
      </c>
      <c r="X43" s="27"/>
      <c r="Y43" s="29">
        <f>W43</f>
        <v>1666.6666666666667</v>
      </c>
      <c r="Z43" s="27"/>
      <c r="AA43" s="29">
        <f>SUM(C43:Y43)</f>
        <v>20000</v>
      </c>
      <c r="AD43" s="55" t="s">
        <v>102</v>
      </c>
      <c r="AE43" s="166"/>
      <c r="AF43" s="167" t="s">
        <v>103</v>
      </c>
      <c r="AG43" s="167"/>
      <c r="AH43" s="168"/>
    </row>
    <row r="44" spans="2:34" x14ac:dyDescent="0.35"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D44" s="50" t="s">
        <v>101</v>
      </c>
      <c r="AE44" s="169"/>
      <c r="AF44" s="170">
        <f>'5 Year Plan'!D81</f>
        <v>0.3</v>
      </c>
      <c r="AG44" s="171"/>
      <c r="AH44" s="172"/>
    </row>
    <row r="45" spans="2:34" ht="13.5" x14ac:dyDescent="0.45">
      <c r="B45" s="9" t="s">
        <v>99</v>
      </c>
      <c r="C45" s="42">
        <f>C42-C43</f>
        <v>21818.348571428567</v>
      </c>
      <c r="D45" s="42"/>
      <c r="E45" s="42">
        <f>E42-E43</f>
        <v>21818.348571428567</v>
      </c>
      <c r="F45" s="42"/>
      <c r="G45" s="42">
        <f>G42-G43</f>
        <v>21818.348571428567</v>
      </c>
      <c r="H45" s="42"/>
      <c r="I45" s="42">
        <f>I42-I43</f>
        <v>30792.66857142856</v>
      </c>
      <c r="J45" s="42"/>
      <c r="K45" s="42">
        <f>K42-K43</f>
        <v>30792.66857142856</v>
      </c>
      <c r="L45" s="42"/>
      <c r="M45" s="42">
        <f>M42-M43</f>
        <v>30792.66857142856</v>
      </c>
      <c r="N45" s="42"/>
      <c r="O45" s="42">
        <f>O42-O43</f>
        <v>30792.66857142856</v>
      </c>
      <c r="P45" s="42"/>
      <c r="Q45" s="42">
        <f>Q42-Q43</f>
        <v>30792.66857142856</v>
      </c>
      <c r="R45" s="42"/>
      <c r="S45" s="42">
        <f>S42-S43</f>
        <v>30792.66857142856</v>
      </c>
      <c r="T45" s="42"/>
      <c r="U45" s="42">
        <f>U42-U43</f>
        <v>39766.988571428585</v>
      </c>
      <c r="V45" s="42"/>
      <c r="W45" s="42">
        <f>W42-W43</f>
        <v>39766.988571428585</v>
      </c>
      <c r="X45" s="42"/>
      <c r="Y45" s="42">
        <f>Y42-Y43</f>
        <v>39766.988571428585</v>
      </c>
      <c r="Z45" s="30"/>
      <c r="AA45" s="42">
        <f>AA42-AA43</f>
        <v>369512.02285714285</v>
      </c>
    </row>
    <row r="46" spans="2:34" ht="14.65" x14ac:dyDescent="0.6">
      <c r="B46" s="9" t="s">
        <v>100</v>
      </c>
      <c r="C46" s="29">
        <f t="shared" ref="C46:Z46" si="14">C45*$AF$44</f>
        <v>6545.5045714285698</v>
      </c>
      <c r="D46" s="27">
        <f t="shared" si="14"/>
        <v>0</v>
      </c>
      <c r="E46" s="29">
        <f t="shared" si="14"/>
        <v>6545.5045714285698</v>
      </c>
      <c r="F46" s="27">
        <f t="shared" si="14"/>
        <v>0</v>
      </c>
      <c r="G46" s="29">
        <f t="shared" si="14"/>
        <v>6545.5045714285698</v>
      </c>
      <c r="H46" s="27">
        <f t="shared" si="14"/>
        <v>0</v>
      </c>
      <c r="I46" s="29">
        <f t="shared" si="14"/>
        <v>9237.8005714285682</v>
      </c>
      <c r="J46" s="27">
        <f t="shared" si="14"/>
        <v>0</v>
      </c>
      <c r="K46" s="29">
        <f t="shared" si="14"/>
        <v>9237.8005714285682</v>
      </c>
      <c r="L46" s="27">
        <f t="shared" si="14"/>
        <v>0</v>
      </c>
      <c r="M46" s="29">
        <f t="shared" si="14"/>
        <v>9237.8005714285682</v>
      </c>
      <c r="N46" s="27">
        <f t="shared" si="14"/>
        <v>0</v>
      </c>
      <c r="O46" s="29">
        <f t="shared" si="14"/>
        <v>9237.8005714285682</v>
      </c>
      <c r="P46" s="27">
        <f t="shared" si="14"/>
        <v>0</v>
      </c>
      <c r="Q46" s="29">
        <f t="shared" si="14"/>
        <v>9237.8005714285682</v>
      </c>
      <c r="R46" s="27">
        <f t="shared" si="14"/>
        <v>0</v>
      </c>
      <c r="S46" s="29">
        <f t="shared" si="14"/>
        <v>9237.8005714285682</v>
      </c>
      <c r="T46" s="27">
        <f t="shared" si="14"/>
        <v>0</v>
      </c>
      <c r="U46" s="29">
        <f t="shared" si="14"/>
        <v>11930.096571428576</v>
      </c>
      <c r="V46" s="27">
        <f t="shared" si="14"/>
        <v>0</v>
      </c>
      <c r="W46" s="29">
        <f t="shared" si="14"/>
        <v>11930.096571428576</v>
      </c>
      <c r="X46" s="27">
        <f t="shared" si="14"/>
        <v>0</v>
      </c>
      <c r="Y46" s="29">
        <f t="shared" si="14"/>
        <v>11930.096571428576</v>
      </c>
      <c r="Z46" s="27">
        <f t="shared" si="14"/>
        <v>0</v>
      </c>
      <c r="AA46" s="29">
        <f>SUM(C46:Y46)</f>
        <v>110853.60685714283</v>
      </c>
    </row>
    <row r="47" spans="2:34" x14ac:dyDescent="0.35"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</row>
    <row r="48" spans="2:34" ht="13.5" x14ac:dyDescent="0.45">
      <c r="B48" s="9" t="s">
        <v>52</v>
      </c>
      <c r="C48" s="42">
        <f t="shared" ref="C48:Z48" si="15">C45-C46</f>
        <v>15272.843999999997</v>
      </c>
      <c r="D48" s="42">
        <f t="shared" si="15"/>
        <v>0</v>
      </c>
      <c r="E48" s="42">
        <f t="shared" si="15"/>
        <v>15272.843999999997</v>
      </c>
      <c r="F48" s="42">
        <f t="shared" si="15"/>
        <v>0</v>
      </c>
      <c r="G48" s="42">
        <f t="shared" si="15"/>
        <v>15272.843999999997</v>
      </c>
      <c r="H48" s="42">
        <f t="shared" si="15"/>
        <v>0</v>
      </c>
      <c r="I48" s="42">
        <f t="shared" si="15"/>
        <v>21554.867999999991</v>
      </c>
      <c r="J48" s="42">
        <f t="shared" si="15"/>
        <v>0</v>
      </c>
      <c r="K48" s="42">
        <f t="shared" si="15"/>
        <v>21554.867999999991</v>
      </c>
      <c r="L48" s="42">
        <f t="shared" si="15"/>
        <v>0</v>
      </c>
      <c r="M48" s="42">
        <f t="shared" si="15"/>
        <v>21554.867999999991</v>
      </c>
      <c r="N48" s="42">
        <f t="shared" si="15"/>
        <v>0</v>
      </c>
      <c r="O48" s="42">
        <f t="shared" si="15"/>
        <v>21554.867999999991</v>
      </c>
      <c r="P48" s="42">
        <f t="shared" si="15"/>
        <v>0</v>
      </c>
      <c r="Q48" s="42">
        <f t="shared" si="15"/>
        <v>21554.867999999991</v>
      </c>
      <c r="R48" s="42">
        <f t="shared" si="15"/>
        <v>0</v>
      </c>
      <c r="S48" s="42">
        <f t="shared" si="15"/>
        <v>21554.867999999991</v>
      </c>
      <c r="T48" s="42">
        <f t="shared" si="15"/>
        <v>0</v>
      </c>
      <c r="U48" s="42">
        <f t="shared" si="15"/>
        <v>27836.892000000007</v>
      </c>
      <c r="V48" s="42">
        <f t="shared" si="15"/>
        <v>0</v>
      </c>
      <c r="W48" s="42">
        <f t="shared" si="15"/>
        <v>27836.892000000007</v>
      </c>
      <c r="X48" s="42">
        <f t="shared" si="15"/>
        <v>0</v>
      </c>
      <c r="Y48" s="42">
        <f t="shared" si="15"/>
        <v>27836.892000000007</v>
      </c>
      <c r="Z48" s="42">
        <f t="shared" si="15"/>
        <v>0</v>
      </c>
      <c r="AA48" s="42">
        <f>SUM(C48:Y48)</f>
        <v>258658.41599999991</v>
      </c>
    </row>
    <row r="50" spans="2:31" x14ac:dyDescent="0.35">
      <c r="B50" s="7" t="s">
        <v>92</v>
      </c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2:31" x14ac:dyDescent="0.35">
      <c r="B51" s="9" t="str">
        <f>CONCATENATE("Commission Salesperson: ",AF17*100,"%","; Share of Sales to new subscribers: ",AG17*100,"%")</f>
        <v>Commission Salesperson: 10%; Share of Sales to new subscribers: 40%</v>
      </c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52" spans="2:31" x14ac:dyDescent="0.35">
      <c r="B52" s="9" t="str">
        <f>CONCATENATE("Share Employee Benefits of Total Salaries: ",AH31*100,"%")</f>
        <v>Share Employee Benefits of Total Salaries: 20%</v>
      </c>
      <c r="AE52" s="58"/>
    </row>
    <row r="53" spans="2:31" x14ac:dyDescent="0.35">
      <c r="B53" s="9" t="str">
        <f>CONCATENATE("Straigh-line depreciation (Computers: ",AH35," years; Computer Equipment: ",AH36," years; Office Furniture: ",AH37," years)")</f>
        <v>Straigh-line depreciation (Computers: 4 years; Computer Equipment: 4 years; Office Furniture: 2 years)</v>
      </c>
    </row>
    <row r="54" spans="2:31" x14ac:dyDescent="0.35">
      <c r="B54" s="9" t="e">
        <f>CONCATENATE("Interest rate for 2 year bank loan: ",AH41*100," %")</f>
        <v>#REF!</v>
      </c>
    </row>
    <row r="55" spans="2:31" x14ac:dyDescent="0.35">
      <c r="B55" s="9" t="str">
        <f>CONCATENATE("Personal tax rate: ",AF44*100," %")</f>
        <v>Personal tax rate: 30 %</v>
      </c>
    </row>
    <row r="68" spans="32:33" hidden="1" x14ac:dyDescent="0.35">
      <c r="AF68">
        <v>189000</v>
      </c>
      <c r="AG68">
        <v>15750</v>
      </c>
    </row>
    <row r="69" spans="32:33" hidden="1" x14ac:dyDescent="0.35">
      <c r="AF69">
        <v>72000</v>
      </c>
      <c r="AG69">
        <v>6000</v>
      </c>
    </row>
    <row r="70" spans="32:33" hidden="1" x14ac:dyDescent="0.35">
      <c r="AF70">
        <v>135000</v>
      </c>
      <c r="AG70">
        <v>11250</v>
      </c>
    </row>
    <row r="71" spans="32:33" hidden="1" x14ac:dyDescent="0.35">
      <c r="AF71">
        <v>396000</v>
      </c>
      <c r="AG71">
        <v>33000</v>
      </c>
    </row>
    <row r="72" spans="32:33" hidden="1" x14ac:dyDescent="0.35"/>
    <row r="73" spans="32:33" hidden="1" x14ac:dyDescent="0.35">
      <c r="AF73" t="s">
        <v>84</v>
      </c>
      <c r="AG73" t="s">
        <v>85</v>
      </c>
    </row>
    <row r="74" spans="32:33" hidden="1" x14ac:dyDescent="0.35">
      <c r="AF74">
        <v>0.125</v>
      </c>
      <c r="AG74">
        <v>0.3</v>
      </c>
    </row>
    <row r="75" spans="32:33" hidden="1" x14ac:dyDescent="0.35"/>
    <row r="76" spans="32:33" hidden="1" x14ac:dyDescent="0.35">
      <c r="AF76" t="s">
        <v>69</v>
      </c>
    </row>
    <row r="77" spans="32:33" hidden="1" x14ac:dyDescent="0.35">
      <c r="AF77">
        <v>48000</v>
      </c>
      <c r="AG77">
        <v>4000</v>
      </c>
    </row>
    <row r="78" spans="32:33" hidden="1" x14ac:dyDescent="0.35">
      <c r="AF78">
        <v>48000</v>
      </c>
      <c r="AG78">
        <v>4000</v>
      </c>
    </row>
    <row r="79" spans="32:33" hidden="1" x14ac:dyDescent="0.35">
      <c r="AF79">
        <v>96000</v>
      </c>
      <c r="AG79">
        <v>8000</v>
      </c>
    </row>
    <row r="80" spans="32:33" hidden="1" x14ac:dyDescent="0.35"/>
    <row r="81" spans="31:34" hidden="1" x14ac:dyDescent="0.35">
      <c r="AF81" t="s">
        <v>69</v>
      </c>
      <c r="AG81" t="s">
        <v>68</v>
      </c>
      <c r="AH81" t="s">
        <v>91</v>
      </c>
    </row>
    <row r="82" spans="31:34" hidden="1" x14ac:dyDescent="0.35">
      <c r="AF82">
        <v>72000</v>
      </c>
      <c r="AG82">
        <v>6000</v>
      </c>
    </row>
    <row r="83" spans="31:34" hidden="1" x14ac:dyDescent="0.35">
      <c r="AF83">
        <v>24000</v>
      </c>
      <c r="AG83">
        <v>2000</v>
      </c>
    </row>
    <row r="84" spans="31:34" hidden="1" x14ac:dyDescent="0.35">
      <c r="AF84">
        <v>4800</v>
      </c>
      <c r="AG84">
        <v>400</v>
      </c>
    </row>
    <row r="85" spans="31:34" hidden="1" x14ac:dyDescent="0.35">
      <c r="AF85">
        <v>6600</v>
      </c>
      <c r="AG85">
        <v>550</v>
      </c>
    </row>
    <row r="86" spans="31:34" hidden="1" x14ac:dyDescent="0.35">
      <c r="AF86">
        <v>7800</v>
      </c>
      <c r="AG86">
        <v>650</v>
      </c>
    </row>
    <row r="87" spans="31:34" hidden="1" x14ac:dyDescent="0.35">
      <c r="AF87">
        <v>12000</v>
      </c>
      <c r="AG87">
        <v>1000</v>
      </c>
    </row>
    <row r="88" spans="31:34" hidden="1" x14ac:dyDescent="0.35">
      <c r="AF88">
        <v>99000</v>
      </c>
      <c r="AG88">
        <v>8250</v>
      </c>
      <c r="AH88">
        <v>0.2</v>
      </c>
    </row>
    <row r="89" spans="31:34" hidden="1" x14ac:dyDescent="0.35">
      <c r="AF89">
        <v>259200</v>
      </c>
      <c r="AG89">
        <v>18850</v>
      </c>
    </row>
    <row r="90" spans="31:34" hidden="1" x14ac:dyDescent="0.35"/>
    <row r="91" spans="31:34" hidden="1" x14ac:dyDescent="0.35">
      <c r="AE91" t="s">
        <v>87</v>
      </c>
      <c r="AF91" t="s">
        <v>69</v>
      </c>
      <c r="AG91" t="s">
        <v>68</v>
      </c>
      <c r="AH91" t="s">
        <v>88</v>
      </c>
    </row>
    <row r="92" spans="31:34" hidden="1" x14ac:dyDescent="0.35">
      <c r="AE92">
        <v>22000</v>
      </c>
      <c r="AF92">
        <v>5500</v>
      </c>
      <c r="AG92">
        <v>458.33333333333331</v>
      </c>
      <c r="AH92">
        <v>4</v>
      </c>
    </row>
    <row r="93" spans="31:34" hidden="1" x14ac:dyDescent="0.35">
      <c r="AE93">
        <v>8000</v>
      </c>
      <c r="AF93">
        <v>2000</v>
      </c>
      <c r="AG93">
        <v>166.66666666666666</v>
      </c>
      <c r="AH93">
        <v>4</v>
      </c>
    </row>
    <row r="94" spans="31:34" hidden="1" x14ac:dyDescent="0.35">
      <c r="AE94">
        <v>50000</v>
      </c>
      <c r="AF94">
        <v>25000</v>
      </c>
      <c r="AG94">
        <v>2083.3333333333335</v>
      </c>
      <c r="AH94">
        <v>2</v>
      </c>
    </row>
    <row r="95" spans="31:34" hidden="1" x14ac:dyDescent="0.35">
      <c r="AE95">
        <v>80000</v>
      </c>
      <c r="AF95">
        <v>32500</v>
      </c>
      <c r="AG95">
        <v>2708.3333333333335</v>
      </c>
    </row>
    <row r="96" spans="31:34" hidden="1" x14ac:dyDescent="0.35"/>
    <row r="97" spans="31:34" hidden="1" x14ac:dyDescent="0.35">
      <c r="AE97" t="s">
        <v>87</v>
      </c>
      <c r="AF97" t="s">
        <v>69</v>
      </c>
      <c r="AG97" t="s">
        <v>68</v>
      </c>
      <c r="AH97" t="s">
        <v>80</v>
      </c>
    </row>
    <row r="98" spans="31:34" hidden="1" x14ac:dyDescent="0.35">
      <c r="AE98">
        <v>200000</v>
      </c>
      <c r="AF98">
        <v>20000</v>
      </c>
      <c r="AG98">
        <v>1666.6666666666667</v>
      </c>
      <c r="AH98">
        <v>0.1</v>
      </c>
    </row>
    <row r="99" spans="31:34" hidden="1" x14ac:dyDescent="0.35"/>
    <row r="100" spans="31:34" hidden="1" x14ac:dyDescent="0.35">
      <c r="AF100" t="s">
        <v>103</v>
      </c>
    </row>
    <row r="101" spans="31:34" hidden="1" x14ac:dyDescent="0.35">
      <c r="AF101">
        <v>0.3</v>
      </c>
    </row>
  </sheetData>
  <sheetProtection password="DEE9" sheet="1" objects="1" scenarios="1" selectLockedCells="1"/>
  <phoneticPr fontId="3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I70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81</v>
      </c>
    </row>
    <row r="4" spans="2:35" ht="13.5" thickBot="1" x14ac:dyDescent="0.45">
      <c r="B4" s="25" t="s">
        <v>139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11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v>0</v>
      </c>
      <c r="D8" s="30">
        <f>'Income Statem_2006'!D8</f>
        <v>0</v>
      </c>
      <c r="E8" s="30">
        <f>C33</f>
        <v>404216.5</v>
      </c>
      <c r="F8" s="30">
        <f>'Income Statem_2006'!F8</f>
        <v>0</v>
      </c>
      <c r="G8" s="30">
        <f>E33</f>
        <v>377437</v>
      </c>
      <c r="H8" s="30">
        <f>'Income Statem_2006'!H8</f>
        <v>0</v>
      </c>
      <c r="I8" s="30">
        <f>G33</f>
        <v>357161.5</v>
      </c>
      <c r="J8" s="30">
        <f>'Income Statem_2006'!J8</f>
        <v>0</v>
      </c>
      <c r="K8" s="30">
        <f>I33</f>
        <v>328487.02</v>
      </c>
      <c r="L8" s="30">
        <f>'Income Statem_2006'!L8</f>
        <v>0</v>
      </c>
      <c r="M8" s="30">
        <f>K33</f>
        <v>306121.42000000004</v>
      </c>
      <c r="N8" s="30">
        <f>'Income Statem_2006'!N8</f>
        <v>0</v>
      </c>
      <c r="O8" s="30">
        <f>M33</f>
        <v>283755.82000000007</v>
      </c>
      <c r="P8" s="30">
        <f>'Income Statem_2006'!P8</f>
        <v>0</v>
      </c>
      <c r="Q8" s="30">
        <f>O33</f>
        <v>261390.22000000006</v>
      </c>
      <c r="R8" s="30">
        <f>'Income Statem_2006'!R8</f>
        <v>0</v>
      </c>
      <c r="S8" s="30">
        <f>Q33</f>
        <v>239024.62000000005</v>
      </c>
      <c r="T8" s="30">
        <f>'Income Statem_2006'!T8</f>
        <v>0</v>
      </c>
      <c r="U8" s="30">
        <f>S33</f>
        <v>222967.90000000005</v>
      </c>
      <c r="V8" s="30">
        <f>'Income Statem_2006'!V8</f>
        <v>0</v>
      </c>
      <c r="W8" s="30">
        <f>U33</f>
        <v>213220.06000000006</v>
      </c>
      <c r="X8" s="30">
        <f>'Income Statem_2006'!X8</f>
        <v>0</v>
      </c>
      <c r="Y8" s="30">
        <f>W33</f>
        <v>209781.10000000006</v>
      </c>
      <c r="Z8" s="30"/>
      <c r="AA8" s="30"/>
      <c r="AD8" s="50" t="s">
        <v>73</v>
      </c>
      <c r="AE8" s="193">
        <v>150000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58">
        <v>200000</v>
      </c>
      <c r="AF9" s="5"/>
    </row>
    <row r="10" spans="2:35" ht="14.65" x14ac:dyDescent="0.6">
      <c r="B10" s="9" t="s">
        <v>65</v>
      </c>
      <c r="C10" s="29">
        <f>'Income Statem_2006'!C8</f>
        <v>8504.0000000000018</v>
      </c>
      <c r="D10" s="29">
        <f>'Income Statem_2006'!D8</f>
        <v>0</v>
      </c>
      <c r="E10" s="29">
        <f>'Income Statem_2006'!E8</f>
        <v>15008.000000000004</v>
      </c>
      <c r="F10" s="29">
        <f>'Income Statem_2006'!F8</f>
        <v>0</v>
      </c>
      <c r="G10" s="29">
        <f>'Income Statem_2006'!G8</f>
        <v>21512</v>
      </c>
      <c r="H10" s="29">
        <f>'Income Statem_2006'!H8</f>
        <v>0</v>
      </c>
      <c r="I10" s="29">
        <f>'Income Statem_2006'!I8</f>
        <v>28016.000000000007</v>
      </c>
      <c r="J10" s="29">
        <f>'Income Statem_2006'!J8</f>
        <v>0</v>
      </c>
      <c r="K10" s="29">
        <f>'Income Statem_2006'!K8</f>
        <v>34520</v>
      </c>
      <c r="L10" s="29">
        <f>'Income Statem_2006'!L8</f>
        <v>0</v>
      </c>
      <c r="M10" s="29">
        <f>'Income Statem_2006'!M8</f>
        <v>34520</v>
      </c>
      <c r="N10" s="29">
        <f>'Income Statem_2006'!N8</f>
        <v>0</v>
      </c>
      <c r="O10" s="29">
        <f>'Income Statem_2006'!O8</f>
        <v>34520</v>
      </c>
      <c r="P10" s="29">
        <f>'Income Statem_2006'!P8</f>
        <v>0</v>
      </c>
      <c r="Q10" s="29">
        <f>'Income Statem_2006'!Q8</f>
        <v>34520</v>
      </c>
      <c r="R10" s="29">
        <f>'Income Statem_2006'!R8</f>
        <v>0</v>
      </c>
      <c r="S10" s="29">
        <f>'Income Statem_2006'!S8</f>
        <v>41024</v>
      </c>
      <c r="T10" s="29">
        <f>'Income Statem_2006'!T8</f>
        <v>0</v>
      </c>
      <c r="U10" s="29">
        <f>'Income Statem_2006'!U8</f>
        <v>47528</v>
      </c>
      <c r="V10" s="29">
        <f>'Income Statem_2006'!V8</f>
        <v>0</v>
      </c>
      <c r="W10" s="29">
        <f>'Income Statem_2006'!W8</f>
        <v>54032.000000000015</v>
      </c>
      <c r="X10" s="29">
        <f>'Income Statem_2006'!X8</f>
        <v>0</v>
      </c>
      <c r="Y10" s="29">
        <f>'Income Statem_2006'!Y8</f>
        <v>60536</v>
      </c>
      <c r="Z10" s="29"/>
      <c r="AA10" s="29">
        <f>SUM(C10:Y10)</f>
        <v>414240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Statem_2006'!C16</f>
        <v>15750</v>
      </c>
      <c r="D13" s="27">
        <f>'Income Statem_2006'!D16</f>
        <v>0</v>
      </c>
      <c r="E13" s="27">
        <f>'Income Statem_2006'!E16</f>
        <v>21750</v>
      </c>
      <c r="F13" s="27">
        <f>'Income Statem_2006'!F16</f>
        <v>0</v>
      </c>
      <c r="G13" s="27">
        <f>'Income Statem_2006'!G16</f>
        <v>21750</v>
      </c>
      <c r="H13" s="27">
        <f>'Income Statem_2006'!H16</f>
        <v>0</v>
      </c>
      <c r="I13" s="27">
        <f>'Income Statem_2006'!I16</f>
        <v>33000</v>
      </c>
      <c r="J13" s="27">
        <f>'Income Statem_2006'!J16</f>
        <v>0</v>
      </c>
      <c r="K13" s="27">
        <f>'Income Statem_2006'!K16</f>
        <v>33000</v>
      </c>
      <c r="L13" s="27">
        <f>'Income Statem_2006'!L16</f>
        <v>0</v>
      </c>
      <c r="M13" s="27">
        <f>'Income Statem_2006'!M16</f>
        <v>33000</v>
      </c>
      <c r="N13" s="27">
        <f>'Income Statem_2006'!N16</f>
        <v>0</v>
      </c>
      <c r="O13" s="27">
        <f>'Income Statem_2006'!O16</f>
        <v>33000</v>
      </c>
      <c r="P13" s="27">
        <f>'Income Statem_2006'!P16</f>
        <v>0</v>
      </c>
      <c r="Q13" s="27">
        <f>'Income Statem_2006'!Q16</f>
        <v>33000</v>
      </c>
      <c r="R13" s="27">
        <f>'Income Statem_2006'!R16</f>
        <v>0</v>
      </c>
      <c r="S13" s="27">
        <f>'Income Statem_2006'!S16</f>
        <v>33000</v>
      </c>
      <c r="T13" s="27">
        <f>'Income Statem_2006'!T16</f>
        <v>0</v>
      </c>
      <c r="U13" s="27">
        <f>'Income Statem_2006'!U16</f>
        <v>33000</v>
      </c>
      <c r="V13" s="27">
        <f>'Income Statem_2006'!V16</f>
        <v>0</v>
      </c>
      <c r="W13" s="27">
        <f>'Income Statem_2006'!W16</f>
        <v>33000</v>
      </c>
      <c r="X13" s="27">
        <f>'Income Statem_2006'!X16</f>
        <v>0</v>
      </c>
      <c r="Y13" s="27">
        <f>'Income Statem_2006'!Y16</f>
        <v>33000</v>
      </c>
      <c r="Z13" s="27"/>
      <c r="AA13" s="27">
        <f t="shared" ref="AA13:AA18" si="0">SUM(C13:Y13)</f>
        <v>356250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Statem_2006'!C22-'Income Statem_2006'!C21</f>
        <v>4000.0000000000005</v>
      </c>
      <c r="D14" s="27"/>
      <c r="E14" s="27">
        <f>'Income Statem_2006'!E22-'Income Statem_2006'!E21</f>
        <v>4000.0000000000005</v>
      </c>
      <c r="F14" s="27"/>
      <c r="G14" s="27">
        <f>'Income Statem_2006'!G22-'Income Statem_2006'!G21</f>
        <v>4000.0000000000005</v>
      </c>
      <c r="H14" s="27"/>
      <c r="I14" s="27">
        <f>'Income Statem_2006'!I22-'Income Statem_2006'!I21</f>
        <v>4840.4799999999996</v>
      </c>
      <c r="J14" s="27"/>
      <c r="K14" s="27">
        <f>'Income Statem_2006'!K22-'Income Statem_2006'!K21</f>
        <v>5035.6000000000004</v>
      </c>
      <c r="L14" s="27"/>
      <c r="M14" s="27">
        <f>'Income Statem_2006'!M22-'Income Statem_2006'!M21</f>
        <v>5035.6000000000004</v>
      </c>
      <c r="N14" s="27"/>
      <c r="O14" s="27">
        <f>'Income Statem_2006'!O22-'Income Statem_2006'!O21</f>
        <v>5035.6000000000004</v>
      </c>
      <c r="P14" s="27"/>
      <c r="Q14" s="27">
        <f>'Income Statem_2006'!Q22-'Income Statem_2006'!Q21</f>
        <v>5035.6000000000004</v>
      </c>
      <c r="R14" s="27"/>
      <c r="S14" s="27">
        <f>'Income Statem_2006'!S22-'Income Statem_2006'!S21</f>
        <v>5230.7199999999993</v>
      </c>
      <c r="T14" s="27"/>
      <c r="U14" s="27">
        <f>'Income Statem_2006'!U22-'Income Statem_2006'!U21</f>
        <v>5425.84</v>
      </c>
      <c r="V14" s="27"/>
      <c r="W14" s="27">
        <f>'Income Statem_2006'!W22-'Income Statem_2006'!W21</f>
        <v>5620.9600000000009</v>
      </c>
      <c r="X14" s="27"/>
      <c r="Y14" s="27">
        <f>'Income Statem_2006'!Y22-'Income Statem_2006'!Y21</f>
        <v>5816.08</v>
      </c>
      <c r="Z14" s="27"/>
      <c r="AA14" s="27">
        <f t="shared" si="0"/>
        <v>59076.480000000003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Statem_2006'!AF21</f>
        <v>40000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40000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Statem_2006'!C32</f>
        <v>14537.5</v>
      </c>
      <c r="D16" s="27">
        <f>'Income Statem_2006'!D32</f>
        <v>0</v>
      </c>
      <c r="E16" s="27">
        <f>'Income Statem_2006'!E32</f>
        <v>16037.5</v>
      </c>
      <c r="F16" s="27">
        <f>'Income Statem_2006'!F32</f>
        <v>0</v>
      </c>
      <c r="G16" s="27">
        <f>'Income Statem_2006'!G32</f>
        <v>16037.5</v>
      </c>
      <c r="H16" s="27">
        <f>'Income Statem_2006'!H32</f>
        <v>0</v>
      </c>
      <c r="I16" s="27">
        <f>'Income Statem_2006'!I32</f>
        <v>18850</v>
      </c>
      <c r="J16" s="27">
        <f>'Income Statem_2006'!J32</f>
        <v>0</v>
      </c>
      <c r="K16" s="27">
        <f>'Income Statem_2006'!K32</f>
        <v>18850</v>
      </c>
      <c r="L16" s="27">
        <f>'Income Statem_2006'!L32</f>
        <v>0</v>
      </c>
      <c r="M16" s="27">
        <f>'Income Statem_2006'!M32</f>
        <v>18850</v>
      </c>
      <c r="N16" s="27">
        <f>'Income Statem_2006'!N32</f>
        <v>0</v>
      </c>
      <c r="O16" s="27">
        <f>'Income Statem_2006'!O32</f>
        <v>18850</v>
      </c>
      <c r="P16" s="27">
        <f>'Income Statem_2006'!P32</f>
        <v>0</v>
      </c>
      <c r="Q16" s="27">
        <f>'Income Statem_2006'!Q32</f>
        <v>18850</v>
      </c>
      <c r="R16" s="27">
        <f>'Income Statem_2006'!R32</f>
        <v>0</v>
      </c>
      <c r="S16" s="27">
        <f>'Income Statem_2006'!S32</f>
        <v>18850</v>
      </c>
      <c r="T16" s="27">
        <f>'Income Statem_2006'!T32</f>
        <v>0</v>
      </c>
      <c r="U16" s="27">
        <f>'Income Statem_2006'!U32</f>
        <v>18850</v>
      </c>
      <c r="V16" s="27">
        <f>'Income Statem_2006'!V32</f>
        <v>0</v>
      </c>
      <c r="W16" s="27">
        <f>'Income Statem_2006'!W32</f>
        <v>18850</v>
      </c>
      <c r="X16" s="27">
        <f>'Income Statem_2006'!X32</f>
        <v>0</v>
      </c>
      <c r="Y16" s="27">
        <f>'Income Statem_2006'!Y32</f>
        <v>18850</v>
      </c>
      <c r="Z16" s="27"/>
      <c r="AA16" s="27">
        <f t="shared" si="0"/>
        <v>216262.5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Statem_2006'!AF41</f>
        <v>20000</v>
      </c>
      <c r="Z17" s="27"/>
      <c r="AA17" s="28">
        <f t="shared" si="0"/>
        <v>20000</v>
      </c>
      <c r="AD17" s="5"/>
      <c r="AE17" s="5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74287.5</v>
      </c>
      <c r="D18" s="29"/>
      <c r="E18" s="29">
        <f>SUM(E13:E17)</f>
        <v>41787.5</v>
      </c>
      <c r="F18" s="29"/>
      <c r="G18" s="29">
        <f>SUM(G13:G17)</f>
        <v>41787.5</v>
      </c>
      <c r="H18" s="29"/>
      <c r="I18" s="29">
        <f>SUM(I13:I17)</f>
        <v>56690.479999999996</v>
      </c>
      <c r="J18" s="29"/>
      <c r="K18" s="29">
        <f>SUM(K13:K17)</f>
        <v>56885.599999999999</v>
      </c>
      <c r="L18" s="29"/>
      <c r="M18" s="29">
        <f>SUM(M13:M17)</f>
        <v>56885.599999999999</v>
      </c>
      <c r="N18" s="29"/>
      <c r="O18" s="29">
        <f>SUM(O13:O17)</f>
        <v>56885.599999999999</v>
      </c>
      <c r="P18" s="29"/>
      <c r="Q18" s="29">
        <f>SUM(Q13:Q17)</f>
        <v>56885.599999999999</v>
      </c>
      <c r="R18" s="29"/>
      <c r="S18" s="29">
        <f>SUM(S13:S17)</f>
        <v>57080.72</v>
      </c>
      <c r="T18" s="29"/>
      <c r="U18" s="29">
        <f>SUM(U13:U17)</f>
        <v>57275.839999999997</v>
      </c>
      <c r="V18" s="29"/>
      <c r="W18" s="29">
        <f>SUM(W13:W17)</f>
        <v>57470.96</v>
      </c>
      <c r="X18" s="29"/>
      <c r="Y18" s="29">
        <f>SUM(Y13:Y17)</f>
        <v>77666.080000000002</v>
      </c>
      <c r="Z18" s="29"/>
      <c r="AA18" s="29">
        <f t="shared" si="0"/>
        <v>691588.97999999975</v>
      </c>
      <c r="AD18" s="50"/>
      <c r="AE18" s="5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>C10-C18</f>
        <v>-65783.5</v>
      </c>
      <c r="D20" s="29">
        <f t="shared" ref="D20:Z20" si="1">D10-D18</f>
        <v>0</v>
      </c>
      <c r="E20" s="29">
        <f t="shared" si="1"/>
        <v>-26779.499999999996</v>
      </c>
      <c r="F20" s="29">
        <f t="shared" si="1"/>
        <v>0</v>
      </c>
      <c r="G20" s="29">
        <f t="shared" si="1"/>
        <v>-20275.5</v>
      </c>
      <c r="H20" s="29">
        <f t="shared" si="1"/>
        <v>0</v>
      </c>
      <c r="I20" s="29">
        <f t="shared" si="1"/>
        <v>-28674.479999999989</v>
      </c>
      <c r="J20" s="29">
        <f t="shared" si="1"/>
        <v>0</v>
      </c>
      <c r="K20" s="29">
        <f t="shared" si="1"/>
        <v>-22365.599999999999</v>
      </c>
      <c r="L20" s="29">
        <f t="shared" si="1"/>
        <v>0</v>
      </c>
      <c r="M20" s="29">
        <f t="shared" si="1"/>
        <v>-22365.599999999999</v>
      </c>
      <c r="N20" s="29">
        <f t="shared" si="1"/>
        <v>0</v>
      </c>
      <c r="O20" s="29">
        <f t="shared" si="1"/>
        <v>-22365.599999999999</v>
      </c>
      <c r="P20" s="29">
        <f t="shared" si="1"/>
        <v>0</v>
      </c>
      <c r="Q20" s="29">
        <f t="shared" si="1"/>
        <v>-22365.599999999999</v>
      </c>
      <c r="R20" s="29">
        <f t="shared" si="1"/>
        <v>0</v>
      </c>
      <c r="S20" s="29">
        <f t="shared" si="1"/>
        <v>-16056.720000000001</v>
      </c>
      <c r="T20" s="29">
        <f t="shared" si="1"/>
        <v>0</v>
      </c>
      <c r="U20" s="29">
        <f t="shared" si="1"/>
        <v>-9747.8399999999965</v>
      </c>
      <c r="V20" s="29">
        <f t="shared" si="1"/>
        <v>0</v>
      </c>
      <c r="W20" s="29">
        <f t="shared" si="1"/>
        <v>-3438.9599999999846</v>
      </c>
      <c r="X20" s="29">
        <f t="shared" si="1"/>
        <v>0</v>
      </c>
      <c r="Y20" s="29">
        <f t="shared" si="1"/>
        <v>-17130.080000000002</v>
      </c>
      <c r="Z20" s="29">
        <f t="shared" si="1"/>
        <v>0</v>
      </c>
      <c r="AA20" s="29">
        <f>AA10-AA18</f>
        <v>-277348.97999999975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f>-'Income Statem_2006'!AE38</f>
        <v>-80000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-80000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150000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150000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f>'Income Statem_2006'!AE41</f>
        <v>200000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200000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200000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f>IF('5 Year Plan'!C134=1,-'5 Year Plan'!B134,0)</f>
        <v>0</v>
      </c>
      <c r="Z27" s="27"/>
      <c r="AA27" s="27">
        <f>SUM(C27:Y27)</f>
        <v>200000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Plan'!C134=1,-'5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 x14ac:dyDescent="0.35">
      <c r="B29" s="9" t="s">
        <v>75</v>
      </c>
      <c r="C29" s="27">
        <f>SUM(C25:C28)</f>
        <v>550000</v>
      </c>
      <c r="D29" s="27"/>
      <c r="E29" s="27">
        <f>SUM(E25:E28)</f>
        <v>0</v>
      </c>
      <c r="F29" s="27"/>
      <c r="G29" s="27">
        <f>SUM(G25:G28)</f>
        <v>0</v>
      </c>
      <c r="H29" s="27"/>
      <c r="I29" s="27">
        <f>SUM(I25:I28)</f>
        <v>0</v>
      </c>
      <c r="J29" s="27"/>
      <c r="K29" s="27">
        <f>SUM(K25:K28)</f>
        <v>0</v>
      </c>
      <c r="L29" s="27"/>
      <c r="M29" s="27">
        <f>SUM(M25:M28)</f>
        <v>0</v>
      </c>
      <c r="N29" s="27"/>
      <c r="O29" s="27">
        <f>SUM(O25:O28)</f>
        <v>0</v>
      </c>
      <c r="P29" s="27"/>
      <c r="Q29" s="27">
        <f>SUM(Q25:Q28)</f>
        <v>0</v>
      </c>
      <c r="R29" s="27"/>
      <c r="S29" s="27">
        <f>SUM(S25:S28)</f>
        <v>0</v>
      </c>
      <c r="T29" s="27"/>
      <c r="U29" s="27">
        <f>SUM(U25:U28)</f>
        <v>0</v>
      </c>
      <c r="V29" s="27"/>
      <c r="W29" s="27">
        <f>SUM(W25:W28)</f>
        <v>0</v>
      </c>
      <c r="X29" s="27"/>
      <c r="Y29" s="27">
        <f>SUM(Y25:Y28)</f>
        <v>0</v>
      </c>
      <c r="Z29" s="27"/>
      <c r="AA29" s="27">
        <f>SUM(AA25:AA28)</f>
        <v>550000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404216.5</v>
      </c>
      <c r="D31" s="27"/>
      <c r="E31" s="51">
        <f>E20+E22+E29</f>
        <v>-26779.499999999996</v>
      </c>
      <c r="F31" s="27"/>
      <c r="G31" s="51">
        <f>G20+G22+G29</f>
        <v>-20275.5</v>
      </c>
      <c r="H31" s="27"/>
      <c r="I31" s="51">
        <f>I20+I22+I29</f>
        <v>-28674.479999999989</v>
      </c>
      <c r="J31" s="27"/>
      <c r="K31" s="51">
        <f>K20+K22+K29</f>
        <v>-22365.599999999999</v>
      </c>
      <c r="L31" s="27"/>
      <c r="M31" s="51">
        <f>M20+M22+M29</f>
        <v>-22365.599999999999</v>
      </c>
      <c r="N31" s="27"/>
      <c r="O31" s="51">
        <f>O20+O22+O29</f>
        <v>-22365.599999999999</v>
      </c>
      <c r="P31" s="27"/>
      <c r="Q31" s="51">
        <f>Q20+Q22+Q29</f>
        <v>-22365.599999999999</v>
      </c>
      <c r="R31" s="27"/>
      <c r="S31" s="51">
        <f>S20+S22+S29</f>
        <v>-16056.720000000001</v>
      </c>
      <c r="T31" s="27"/>
      <c r="U31" s="51">
        <f>U20+U22+U29</f>
        <v>-9747.8399999999965</v>
      </c>
      <c r="V31" s="27"/>
      <c r="W31" s="51">
        <f>W20+W22+W29</f>
        <v>-3438.9599999999846</v>
      </c>
      <c r="X31" s="27"/>
      <c r="Y31" s="51">
        <f>Y20+Y22+Y29</f>
        <v>-17130.080000000002</v>
      </c>
      <c r="Z31" s="27"/>
      <c r="AA31" s="51">
        <f>AA20+AA22+AA29</f>
        <v>192651.02000000025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404216.5</v>
      </c>
      <c r="D33" s="30"/>
      <c r="E33" s="30">
        <f>E8+E31</f>
        <v>377437</v>
      </c>
      <c r="F33" s="30"/>
      <c r="G33" s="30">
        <f>G8+G31</f>
        <v>357161.5</v>
      </c>
      <c r="H33" s="30"/>
      <c r="I33" s="30">
        <f>I8+I31</f>
        <v>328487.02</v>
      </c>
      <c r="J33" s="30"/>
      <c r="K33" s="30">
        <f>K8+K31</f>
        <v>306121.42000000004</v>
      </c>
      <c r="L33" s="30"/>
      <c r="M33" s="30">
        <f>M8+M31</f>
        <v>283755.82000000007</v>
      </c>
      <c r="N33" s="30"/>
      <c r="O33" s="30">
        <f>O8+O31</f>
        <v>261390.22000000006</v>
      </c>
      <c r="P33" s="30"/>
      <c r="Q33" s="30">
        <f>Q8+Q31</f>
        <v>239024.62000000005</v>
      </c>
      <c r="R33" s="30"/>
      <c r="S33" s="30">
        <f>S8+S31</f>
        <v>222967.90000000005</v>
      </c>
      <c r="T33" s="30"/>
      <c r="U33" s="30">
        <f>U8+U31</f>
        <v>213220.06000000006</v>
      </c>
      <c r="V33" s="30"/>
      <c r="W33" s="30">
        <f>W8+W31</f>
        <v>209781.10000000006</v>
      </c>
      <c r="X33" s="30"/>
      <c r="Y33" s="30">
        <f>Y8+Y31</f>
        <v>192651.02000000008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9" spans="31:31" ht="13.5" hidden="1" customHeight="1" x14ac:dyDescent="0.35">
      <c r="AE69">
        <v>150000</v>
      </c>
    </row>
    <row r="70" spans="31:31" hidden="1" x14ac:dyDescent="0.35">
      <c r="AE70">
        <v>200000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AI69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106</v>
      </c>
    </row>
    <row r="4" spans="2:35" ht="13.5" thickBot="1" x14ac:dyDescent="0.45">
      <c r="B4" s="25" t="s">
        <v>137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f>'Cash Flow_2006'!Y33</f>
        <v>192651.02000000008</v>
      </c>
      <c r="D8" s="30">
        <f>'Income Statem_2006'!D8</f>
        <v>0</v>
      </c>
      <c r="E8" s="30">
        <f>C33</f>
        <v>159153.90416666676</v>
      </c>
      <c r="F8" s="30">
        <f>'Income Statem_2006'!F8</f>
        <v>0</v>
      </c>
      <c r="G8" s="30">
        <f>E33</f>
        <v>167256.78833333345</v>
      </c>
      <c r="H8" s="30">
        <f>'Income Statem_2006'!H8</f>
        <v>0</v>
      </c>
      <c r="I8" s="30">
        <f>G33</f>
        <v>175359.6725000001</v>
      </c>
      <c r="J8" s="30">
        <f>'Income Statem_2006'!J8</f>
        <v>0</v>
      </c>
      <c r="K8" s="30">
        <f>I33</f>
        <v>190236.95583333343</v>
      </c>
      <c r="L8" s="30">
        <f>'Income Statem_2006'!L8</f>
        <v>0</v>
      </c>
      <c r="M8" s="30">
        <f>K33</f>
        <v>205114.23916666675</v>
      </c>
      <c r="N8" s="30">
        <f>'Income Statem_2006'!N8</f>
        <v>0</v>
      </c>
      <c r="O8" s="30">
        <f>M33</f>
        <v>219991.52250000008</v>
      </c>
      <c r="P8" s="30">
        <f>'Income Statem_2006'!P8</f>
        <v>0</v>
      </c>
      <c r="Q8" s="30">
        <f>O33</f>
        <v>234868.8058333334</v>
      </c>
      <c r="R8" s="30">
        <f>'Income Statem_2006'!R8</f>
        <v>0</v>
      </c>
      <c r="S8" s="30">
        <f>Q33</f>
        <v>249746.08916666673</v>
      </c>
      <c r="T8" s="30">
        <f>'Income Statem_2006'!T8</f>
        <v>0</v>
      </c>
      <c r="U8" s="30">
        <f>S33</f>
        <v>264623.37250000006</v>
      </c>
      <c r="V8" s="30">
        <f>'Income Statem_2006'!V8</f>
        <v>0</v>
      </c>
      <c r="W8" s="30">
        <f>U33</f>
        <v>286275.05500000005</v>
      </c>
      <c r="X8" s="30">
        <f>'Income Statem_2006'!X8</f>
        <v>0</v>
      </c>
      <c r="Y8" s="30">
        <f>W33</f>
        <v>307926.73750000005</v>
      </c>
      <c r="Z8" s="30"/>
      <c r="AA8" s="30"/>
      <c r="AD8" s="50" t="s">
        <v>73</v>
      </c>
      <c r="AE8" s="194">
        <v>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4.65" x14ac:dyDescent="0.6">
      <c r="B10" s="9" t="s">
        <v>65</v>
      </c>
      <c r="C10" s="29">
        <f>'Income Statem_2007'!C8</f>
        <v>67855.25</v>
      </c>
      <c r="D10" s="29">
        <f>'Income Statem_2007'!D8</f>
        <v>0</v>
      </c>
      <c r="E10" s="29">
        <f>'Income Statem_2007'!E8</f>
        <v>67855.25</v>
      </c>
      <c r="F10" s="29">
        <f>'Income Statem_2007'!F8</f>
        <v>0</v>
      </c>
      <c r="G10" s="29">
        <f>'Income Statem_2007'!G8</f>
        <v>67855.25</v>
      </c>
      <c r="H10" s="29">
        <f>'Income Statem_2007'!H8</f>
        <v>0</v>
      </c>
      <c r="I10" s="29">
        <f>'Income Statem_2007'!I8</f>
        <v>74839.166666666657</v>
      </c>
      <c r="J10" s="29">
        <f>'Income Statem_2007'!J8</f>
        <v>0</v>
      </c>
      <c r="K10" s="29">
        <f>'Income Statem_2007'!K8</f>
        <v>74839.166666666657</v>
      </c>
      <c r="L10" s="29">
        <f>'Income Statem_2007'!L8</f>
        <v>0</v>
      </c>
      <c r="M10" s="29">
        <f>'Income Statem_2007'!M8</f>
        <v>74839.166666666657</v>
      </c>
      <c r="N10" s="29">
        <f>'Income Statem_2007'!N8</f>
        <v>0</v>
      </c>
      <c r="O10" s="29">
        <f>'Income Statem_2007'!O8</f>
        <v>74839.166666666657</v>
      </c>
      <c r="P10" s="29">
        <f>'Income Statem_2007'!P8</f>
        <v>0</v>
      </c>
      <c r="Q10" s="29">
        <f>'Income Statem_2007'!Q8</f>
        <v>74839.166666666657</v>
      </c>
      <c r="R10" s="29">
        <f>'Income Statem_2007'!R8</f>
        <v>0</v>
      </c>
      <c r="S10" s="29">
        <f>'Income Statem_2007'!S8</f>
        <v>74839.166666666657</v>
      </c>
      <c r="T10" s="29">
        <f>'Income Statem_2007'!T8</f>
        <v>0</v>
      </c>
      <c r="U10" s="29">
        <f>'Income Statem_2007'!U8</f>
        <v>81823.083333333343</v>
      </c>
      <c r="V10" s="29">
        <f>'Income Statem_2007'!V8</f>
        <v>0</v>
      </c>
      <c r="W10" s="29">
        <f>'Income Statem_2007'!W8</f>
        <v>81823.083333333343</v>
      </c>
      <c r="X10" s="29">
        <f>'Income Statem_2007'!X8</f>
        <v>0</v>
      </c>
      <c r="Y10" s="29">
        <f>'Income Statem_2007'!Y8</f>
        <v>81823.083333333343</v>
      </c>
      <c r="Z10" s="29"/>
      <c r="AA10" s="29">
        <f>SUM(C10:Y10)</f>
        <v>898069.99999999988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Statem_2007'!C16</f>
        <v>34154.166666666664</v>
      </c>
      <c r="D13" s="27">
        <f>'Income Statem_2007'!D16</f>
        <v>0</v>
      </c>
      <c r="E13" s="27">
        <f>'Income Statem_2007'!E16</f>
        <v>34154.166666666664</v>
      </c>
      <c r="F13" s="27">
        <f>'Income Statem_2007'!F16</f>
        <v>0</v>
      </c>
      <c r="G13" s="27">
        <f>'Income Statem_2007'!G16</f>
        <v>34154.166666666664</v>
      </c>
      <c r="H13" s="27">
        <f>'Income Statem_2007'!H16</f>
        <v>0</v>
      </c>
      <c r="I13" s="27">
        <f>'Income Statem_2007'!I16</f>
        <v>34154.166666666664</v>
      </c>
      <c r="J13" s="27">
        <f>'Income Statem_2007'!J16</f>
        <v>0</v>
      </c>
      <c r="K13" s="27">
        <f>'Income Statem_2007'!K16</f>
        <v>34154.166666666664</v>
      </c>
      <c r="L13" s="27">
        <f>'Income Statem_2007'!L16</f>
        <v>0</v>
      </c>
      <c r="M13" s="27">
        <f>'Income Statem_2007'!M16</f>
        <v>34154.166666666664</v>
      </c>
      <c r="N13" s="27">
        <f>'Income Statem_2007'!N16</f>
        <v>0</v>
      </c>
      <c r="O13" s="27">
        <f>'Income Statem_2007'!O16</f>
        <v>34154.166666666664</v>
      </c>
      <c r="P13" s="27">
        <f>'Income Statem_2007'!P16</f>
        <v>0</v>
      </c>
      <c r="Q13" s="27">
        <f>'Income Statem_2007'!Q16</f>
        <v>34154.166666666664</v>
      </c>
      <c r="R13" s="27">
        <f>'Income Statem_2007'!R16</f>
        <v>0</v>
      </c>
      <c r="S13" s="27">
        <f>'Income Statem_2007'!S16</f>
        <v>34154.166666666664</v>
      </c>
      <c r="T13" s="27">
        <f>'Income Statem_2007'!T16</f>
        <v>0</v>
      </c>
      <c r="U13" s="27">
        <f>'Income Statem_2007'!U16</f>
        <v>34154.166666666664</v>
      </c>
      <c r="V13" s="27">
        <f>'Income Statem_2007'!V16</f>
        <v>0</v>
      </c>
      <c r="W13" s="27">
        <f>'Income Statem_2007'!W16</f>
        <v>34154.166666666664</v>
      </c>
      <c r="X13" s="27">
        <f>'Income Statem_2007'!X16</f>
        <v>0</v>
      </c>
      <c r="Y13" s="27">
        <f>'Income Statem_2007'!Y16</f>
        <v>34154.166666666664</v>
      </c>
      <c r="Z13" s="27"/>
      <c r="AA13" s="27">
        <f t="shared" ref="AA13:AA18" si="0">SUM(C13:Y13)</f>
        <v>409850.00000000006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Statem_2007'!C22-'Income Statem_2007'!C21</f>
        <v>6035.6575000000012</v>
      </c>
      <c r="D14" s="27"/>
      <c r="E14" s="27">
        <f>'Income Statem_2007'!E22-'Income Statem_2007'!E21</f>
        <v>6035.6575000000012</v>
      </c>
      <c r="F14" s="27"/>
      <c r="G14" s="27">
        <f>'Income Statem_2007'!G22-'Income Statem_2007'!G21</f>
        <v>6035.6575000000012</v>
      </c>
      <c r="H14" s="27"/>
      <c r="I14" s="27">
        <f>'Income Statem_2007'!I22-'Income Statem_2007'!I21</f>
        <v>6245.1749999999993</v>
      </c>
      <c r="J14" s="27"/>
      <c r="K14" s="27">
        <f>'Income Statem_2007'!K22-'Income Statem_2007'!K21</f>
        <v>6245.1749999999993</v>
      </c>
      <c r="L14" s="27"/>
      <c r="M14" s="27">
        <f>'Income Statem_2007'!M22-'Income Statem_2007'!M21</f>
        <v>6245.1749999999993</v>
      </c>
      <c r="N14" s="27"/>
      <c r="O14" s="27">
        <f>'Income Statem_2007'!O22-'Income Statem_2007'!O21</f>
        <v>6245.1749999999993</v>
      </c>
      <c r="P14" s="27"/>
      <c r="Q14" s="27">
        <f>'Income Statem_2007'!Q22-'Income Statem_2007'!Q21</f>
        <v>6245.1749999999993</v>
      </c>
      <c r="R14" s="27"/>
      <c r="S14" s="27">
        <f>'Income Statem_2007'!S22-'Income Statem_2007'!S21</f>
        <v>6245.1749999999993</v>
      </c>
      <c r="T14" s="27"/>
      <c r="U14" s="27">
        <f>'Income Statem_2007'!U22-'Income Statem_2007'!U21</f>
        <v>6454.692500000001</v>
      </c>
      <c r="V14" s="27"/>
      <c r="W14" s="27">
        <f>'Income Statem_2007'!W22-'Income Statem_2007'!W21</f>
        <v>6454.692500000001</v>
      </c>
      <c r="X14" s="27"/>
      <c r="Y14" s="27">
        <f>'Income Statem_2007'!Y22-'Income Statem_2007'!Y21</f>
        <v>6454.692500000001</v>
      </c>
      <c r="Z14" s="27"/>
      <c r="AA14" s="27">
        <f t="shared" si="0"/>
        <v>74942.10000000002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Statem_2007'!AF21</f>
        <v>41600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41600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Statem_2007'!C32</f>
        <v>19562.541666666664</v>
      </c>
      <c r="D16" s="27">
        <f>'Income Statem_2007'!D32</f>
        <v>0</v>
      </c>
      <c r="E16" s="27">
        <f>'Income Statem_2007'!E32</f>
        <v>19562.541666666664</v>
      </c>
      <c r="F16" s="27">
        <f>'Income Statem_2007'!F32</f>
        <v>0</v>
      </c>
      <c r="G16" s="27">
        <f>'Income Statem_2007'!G32</f>
        <v>19562.541666666664</v>
      </c>
      <c r="H16" s="27">
        <f>'Income Statem_2007'!H32</f>
        <v>0</v>
      </c>
      <c r="I16" s="27">
        <f>'Income Statem_2007'!I32</f>
        <v>19562.541666666664</v>
      </c>
      <c r="J16" s="27">
        <f>'Income Statem_2007'!J32</f>
        <v>0</v>
      </c>
      <c r="K16" s="27">
        <f>'Income Statem_2007'!K32</f>
        <v>19562.541666666664</v>
      </c>
      <c r="L16" s="27">
        <f>'Income Statem_2007'!L32</f>
        <v>0</v>
      </c>
      <c r="M16" s="27">
        <f>'Income Statem_2007'!M32</f>
        <v>19562.541666666664</v>
      </c>
      <c r="N16" s="27">
        <f>'Income Statem_2007'!N32</f>
        <v>0</v>
      </c>
      <c r="O16" s="27">
        <f>'Income Statem_2007'!O32</f>
        <v>19562.541666666664</v>
      </c>
      <c r="P16" s="27">
        <f>'Income Statem_2007'!P32</f>
        <v>0</v>
      </c>
      <c r="Q16" s="27">
        <f>'Income Statem_2007'!Q32</f>
        <v>19562.541666666664</v>
      </c>
      <c r="R16" s="27">
        <f>'Income Statem_2007'!R32</f>
        <v>0</v>
      </c>
      <c r="S16" s="27">
        <f>'Income Statem_2007'!S32</f>
        <v>19562.541666666664</v>
      </c>
      <c r="T16" s="27">
        <f>'Income Statem_2007'!T32</f>
        <v>0</v>
      </c>
      <c r="U16" s="27">
        <f>'Income Statem_2007'!U32</f>
        <v>19562.541666666664</v>
      </c>
      <c r="V16" s="27">
        <f>'Income Statem_2007'!V32</f>
        <v>0</v>
      </c>
      <c r="W16" s="27">
        <f>'Income Statem_2007'!W32</f>
        <v>19562.541666666664</v>
      </c>
      <c r="X16" s="27">
        <f>'Income Statem_2007'!X32</f>
        <v>0</v>
      </c>
      <c r="Y16" s="27">
        <f>'Income Statem_2007'!Y32</f>
        <v>19562.541666666664</v>
      </c>
      <c r="Z16" s="27"/>
      <c r="AA16" s="27">
        <f t="shared" si="0"/>
        <v>234750.49999999991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Statem_2007'!AF41</f>
        <v>20000</v>
      </c>
      <c r="Z17" s="27"/>
      <c r="AA17" s="28">
        <f t="shared" si="0"/>
        <v>20000</v>
      </c>
      <c r="AD17" s="50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101352.36583333332</v>
      </c>
      <c r="D18" s="29"/>
      <c r="E18" s="29">
        <f>SUM(E13:E17)</f>
        <v>59752.36583333333</v>
      </c>
      <c r="F18" s="29"/>
      <c r="G18" s="29">
        <f>SUM(G13:G17)</f>
        <v>59752.36583333333</v>
      </c>
      <c r="H18" s="29"/>
      <c r="I18" s="29">
        <f>SUM(I13:I17)</f>
        <v>59961.883333333324</v>
      </c>
      <c r="J18" s="29"/>
      <c r="K18" s="29">
        <f>SUM(K13:K17)</f>
        <v>59961.883333333324</v>
      </c>
      <c r="L18" s="29"/>
      <c r="M18" s="29">
        <f>SUM(M13:M17)</f>
        <v>59961.883333333324</v>
      </c>
      <c r="N18" s="29"/>
      <c r="O18" s="29">
        <f>SUM(O13:O17)</f>
        <v>59961.883333333324</v>
      </c>
      <c r="P18" s="29"/>
      <c r="Q18" s="29">
        <f>SUM(Q13:Q17)</f>
        <v>59961.883333333324</v>
      </c>
      <c r="R18" s="29"/>
      <c r="S18" s="29">
        <f>SUM(S13:S17)</f>
        <v>59961.883333333324</v>
      </c>
      <c r="T18" s="29"/>
      <c r="U18" s="29">
        <f>SUM(U13:U17)</f>
        <v>60171.400833333326</v>
      </c>
      <c r="V18" s="29"/>
      <c r="W18" s="29">
        <f>SUM(W13:W17)</f>
        <v>60171.400833333326</v>
      </c>
      <c r="X18" s="29"/>
      <c r="Y18" s="29">
        <f>SUM(Y13:Y17)</f>
        <v>80171.400833333319</v>
      </c>
      <c r="Z18" s="29"/>
      <c r="AA18" s="29">
        <f t="shared" si="0"/>
        <v>781142.59999999986</v>
      </c>
      <c r="AD18" s="50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 t="shared" ref="C20:AA20" si="1">C10-C18</f>
        <v>-33497.115833333315</v>
      </c>
      <c r="D20" s="29">
        <f t="shared" si="1"/>
        <v>0</v>
      </c>
      <c r="E20" s="29">
        <f t="shared" si="1"/>
        <v>8102.8841666666704</v>
      </c>
      <c r="F20" s="29">
        <f t="shared" si="1"/>
        <v>0</v>
      </c>
      <c r="G20" s="29">
        <f t="shared" si="1"/>
        <v>8102.8841666666704</v>
      </c>
      <c r="H20" s="29">
        <f t="shared" si="1"/>
        <v>0</v>
      </c>
      <c r="I20" s="29">
        <f t="shared" si="1"/>
        <v>14877.283333333333</v>
      </c>
      <c r="J20" s="29">
        <f t="shared" si="1"/>
        <v>0</v>
      </c>
      <c r="K20" s="29">
        <f t="shared" si="1"/>
        <v>14877.283333333333</v>
      </c>
      <c r="L20" s="29">
        <f t="shared" si="1"/>
        <v>0</v>
      </c>
      <c r="M20" s="29">
        <f t="shared" si="1"/>
        <v>14877.283333333333</v>
      </c>
      <c r="N20" s="29">
        <f t="shared" si="1"/>
        <v>0</v>
      </c>
      <c r="O20" s="29">
        <f t="shared" si="1"/>
        <v>14877.283333333333</v>
      </c>
      <c r="P20" s="29">
        <f t="shared" si="1"/>
        <v>0</v>
      </c>
      <c r="Q20" s="29">
        <f t="shared" si="1"/>
        <v>14877.283333333333</v>
      </c>
      <c r="R20" s="29">
        <f t="shared" si="1"/>
        <v>0</v>
      </c>
      <c r="S20" s="29">
        <f t="shared" si="1"/>
        <v>14877.283333333333</v>
      </c>
      <c r="T20" s="29">
        <f t="shared" si="1"/>
        <v>0</v>
      </c>
      <c r="U20" s="29">
        <f t="shared" si="1"/>
        <v>21651.682500000017</v>
      </c>
      <c r="V20" s="29">
        <f t="shared" si="1"/>
        <v>0</v>
      </c>
      <c r="W20" s="29">
        <f t="shared" si="1"/>
        <v>21651.682500000017</v>
      </c>
      <c r="X20" s="29">
        <f t="shared" si="1"/>
        <v>0</v>
      </c>
      <c r="Y20" s="29">
        <f t="shared" si="1"/>
        <v>1651.6825000000244</v>
      </c>
      <c r="Z20" s="29">
        <f t="shared" si="1"/>
        <v>0</v>
      </c>
      <c r="AA20" s="29">
        <f t="shared" si="1"/>
        <v>116927.40000000002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IF('5 Year Plan'!C134=2,-'5 Year Plan'!B134,0)</f>
        <v>0</v>
      </c>
      <c r="Z28" s="27"/>
      <c r="AA28" s="28">
        <f>SUM(C28:Y28)</f>
        <v>0</v>
      </c>
      <c r="AD28" s="50"/>
      <c r="AE28" s="49"/>
      <c r="AF28" s="5"/>
    </row>
    <row r="29" spans="2:32" x14ac:dyDescent="0.35">
      <c r="B29" s="9" t="s">
        <v>75</v>
      </c>
      <c r="C29" s="27">
        <f>SUM(C25:C28)</f>
        <v>0</v>
      </c>
      <c r="D29" s="27">
        <f t="shared" ref="D29:Z29" si="2">SUM(D25:D28)</f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0</v>
      </c>
      <c r="Z29" s="27">
        <f t="shared" si="2"/>
        <v>0</v>
      </c>
      <c r="AA29" s="27">
        <f>SUM(AA25:AA28)</f>
        <v>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-33497.115833333315</v>
      </c>
      <c r="D31" s="27"/>
      <c r="E31" s="51">
        <f>E20+E22+E29</f>
        <v>8102.8841666666704</v>
      </c>
      <c r="F31" s="27"/>
      <c r="G31" s="51">
        <f>G20+G22+G29</f>
        <v>8102.8841666666704</v>
      </c>
      <c r="H31" s="27"/>
      <c r="I31" s="51">
        <f>I20+I22+I29</f>
        <v>14877.283333333333</v>
      </c>
      <c r="J31" s="27"/>
      <c r="K31" s="51">
        <f>K20+K22+K29</f>
        <v>14877.283333333333</v>
      </c>
      <c r="L31" s="27"/>
      <c r="M31" s="51">
        <f>M20+M22+M29</f>
        <v>14877.283333333333</v>
      </c>
      <c r="N31" s="27"/>
      <c r="O31" s="51">
        <f>O20+O22+O29</f>
        <v>14877.283333333333</v>
      </c>
      <c r="P31" s="27"/>
      <c r="Q31" s="51">
        <f>Q20+Q22+Q29</f>
        <v>14877.283333333333</v>
      </c>
      <c r="R31" s="27"/>
      <c r="S31" s="51">
        <f>S20+S22+S29</f>
        <v>14877.283333333333</v>
      </c>
      <c r="T31" s="27"/>
      <c r="U31" s="51">
        <f>U20+U22+U29</f>
        <v>21651.682500000017</v>
      </c>
      <c r="V31" s="27"/>
      <c r="W31" s="51">
        <f>W20+W22+W29</f>
        <v>21651.682500000017</v>
      </c>
      <c r="X31" s="27"/>
      <c r="Y31" s="51">
        <f>Y20+Y22+Y29</f>
        <v>1651.6825000000244</v>
      </c>
      <c r="Z31" s="27"/>
      <c r="AA31" s="51">
        <f>AA20+AA22+AA29</f>
        <v>116927.40000000002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159153.90416666676</v>
      </c>
      <c r="D33" s="30"/>
      <c r="E33" s="30">
        <f>E8+E31</f>
        <v>167256.78833333345</v>
      </c>
      <c r="F33" s="30"/>
      <c r="G33" s="30">
        <f>G8+G31</f>
        <v>175359.6725000001</v>
      </c>
      <c r="H33" s="30"/>
      <c r="I33" s="30">
        <f>I8+I31</f>
        <v>190236.95583333343</v>
      </c>
      <c r="J33" s="30"/>
      <c r="K33" s="30">
        <f>K8+K31</f>
        <v>205114.23916666675</v>
      </c>
      <c r="L33" s="30"/>
      <c r="M33" s="30">
        <f>M8+M31</f>
        <v>219991.52250000008</v>
      </c>
      <c r="N33" s="30"/>
      <c r="O33" s="30">
        <f>O8+O31</f>
        <v>234868.8058333334</v>
      </c>
      <c r="P33" s="30"/>
      <c r="Q33" s="30">
        <f>Q8+Q31</f>
        <v>249746.08916666673</v>
      </c>
      <c r="R33" s="30"/>
      <c r="S33" s="30">
        <f>S8+S31</f>
        <v>264623.37250000006</v>
      </c>
      <c r="T33" s="30"/>
      <c r="U33" s="30">
        <f>U8+U31</f>
        <v>286275.05500000005</v>
      </c>
      <c r="V33" s="30"/>
      <c r="W33" s="30">
        <f>W8+W31</f>
        <v>307926.73750000005</v>
      </c>
      <c r="X33" s="30"/>
      <c r="Y33" s="30">
        <f>Y8+Y31</f>
        <v>309578.42000000004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 x14ac:dyDescent="0.35"/>
    <row r="68" spans="31:31" hidden="1" x14ac:dyDescent="0.35">
      <c r="AE68">
        <v>0</v>
      </c>
    </row>
    <row r="69" spans="31:31" hidden="1" x14ac:dyDescent="0.3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AI69"/>
  <sheetViews>
    <sheetView showGridLines="0" topLeftCell="B1" zoomScale="75" workbookViewId="0">
      <selection activeCell="AE8" sqref="AE8"/>
    </sheetView>
  </sheetViews>
  <sheetFormatPr defaultRowHeight="12.75" x14ac:dyDescent="0.35"/>
  <cols>
    <col min="1" max="1" width="0" hidden="1" customWidth="1"/>
    <col min="2" max="2" width="33.73046875" style="9" customWidth="1"/>
    <col min="3" max="3" width="13.86328125" style="9" customWidth="1"/>
    <col min="4" max="4" width="0.86328125" style="13" customWidth="1"/>
    <col min="5" max="5" width="13.73046875" style="9" customWidth="1"/>
    <col min="6" max="6" width="0.86328125" style="13" customWidth="1"/>
    <col min="7" max="7" width="13.73046875" style="9" customWidth="1"/>
    <col min="8" max="8" width="0.86328125" style="13" customWidth="1"/>
    <col min="9" max="9" width="13.73046875" style="9" customWidth="1"/>
    <col min="10" max="10" width="0.86328125" style="13" customWidth="1"/>
    <col min="11" max="11" width="13.73046875" style="9" customWidth="1"/>
    <col min="12" max="12" width="0.86328125" style="13" customWidth="1"/>
    <col min="13" max="13" width="13.73046875" style="9" customWidth="1"/>
    <col min="14" max="14" width="0.86328125" style="13" customWidth="1"/>
    <col min="15" max="15" width="13.73046875" style="9" customWidth="1"/>
    <col min="16" max="16" width="0.86328125" style="13" customWidth="1"/>
    <col min="17" max="17" width="13.73046875" style="9" customWidth="1"/>
    <col min="18" max="18" width="0.86328125" style="13" customWidth="1"/>
    <col min="19" max="19" width="13.73046875" style="9" customWidth="1"/>
    <col min="20" max="20" width="0.86328125" style="13" customWidth="1"/>
    <col min="21" max="21" width="13.73046875" style="9" customWidth="1"/>
    <col min="22" max="22" width="0.86328125" style="13" customWidth="1"/>
    <col min="23" max="23" width="13.73046875" style="9" customWidth="1"/>
    <col min="24" max="24" width="0.86328125" style="13" customWidth="1"/>
    <col min="25" max="25" width="13.73046875" style="9" customWidth="1"/>
    <col min="26" max="26" width="0.86328125" style="13" customWidth="1"/>
    <col min="27" max="27" width="13.73046875" style="9" customWidth="1"/>
    <col min="30" max="30" width="23.3984375" bestFit="1" customWidth="1"/>
    <col min="31" max="31" width="28" bestFit="1" customWidth="1"/>
    <col min="32" max="32" width="12.1328125" bestFit="1" customWidth="1"/>
  </cols>
  <sheetData>
    <row r="2" spans="2:35" x14ac:dyDescent="0.35">
      <c r="B2" s="24" t="s">
        <v>106</v>
      </c>
    </row>
    <row r="4" spans="2:35" ht="13.5" thickBot="1" x14ac:dyDescent="0.45">
      <c r="B4" s="25" t="s">
        <v>138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3"/>
      <c r="AC4" s="3"/>
      <c r="AF4" s="52"/>
      <c r="AG4" s="3"/>
      <c r="AH4" s="3"/>
      <c r="AI4" s="3"/>
    </row>
    <row r="5" spans="2:35" x14ac:dyDescent="0.35">
      <c r="AD5" s="53" t="s">
        <v>93</v>
      </c>
      <c r="AE5" s="150"/>
      <c r="AF5" s="19" t="s">
        <v>82</v>
      </c>
    </row>
    <row r="6" spans="2:3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W6" s="173" t="s">
        <v>20</v>
      </c>
      <c r="X6" s="174"/>
      <c r="Y6" s="173" t="s">
        <v>12</v>
      </c>
      <c r="Z6" s="31"/>
      <c r="AA6" s="26" t="s">
        <v>1</v>
      </c>
      <c r="AD6" s="54" t="s">
        <v>89</v>
      </c>
      <c r="AE6" s="150"/>
      <c r="AF6" s="5"/>
    </row>
    <row r="7" spans="2:35" ht="13.15" thickBot="1" x14ac:dyDescent="0.4">
      <c r="AD7" s="34"/>
      <c r="AE7" s="150" t="s">
        <v>94</v>
      </c>
      <c r="AF7" s="5"/>
    </row>
    <row r="8" spans="2:35" ht="13.5" x14ac:dyDescent="0.45">
      <c r="B8" s="9" t="s">
        <v>76</v>
      </c>
      <c r="C8" s="30">
        <f>'Cash Flow_2007'!Y33</f>
        <v>309578.42000000004</v>
      </c>
      <c r="D8" s="30">
        <f>'Income Statem_2006'!D8</f>
        <v>0</v>
      </c>
      <c r="E8" s="30">
        <f>C33</f>
        <v>294029.76857142861</v>
      </c>
      <c r="F8" s="30">
        <f>'Income Statem_2006'!F8</f>
        <v>0</v>
      </c>
      <c r="G8" s="30">
        <f>E33</f>
        <v>321745.11714285717</v>
      </c>
      <c r="H8" s="30">
        <f>'Income Statem_2006'!H8</f>
        <v>0</v>
      </c>
      <c r="I8" s="30">
        <f>G33</f>
        <v>349460.46571428573</v>
      </c>
      <c r="J8" s="30">
        <f>'Income Statem_2006'!J8</f>
        <v>0</v>
      </c>
      <c r="K8" s="30">
        <f>I33</f>
        <v>386150.1342857143</v>
      </c>
      <c r="L8" s="30">
        <f>'Income Statem_2006'!L8</f>
        <v>0</v>
      </c>
      <c r="M8" s="30">
        <f>K33</f>
        <v>422839.80285714287</v>
      </c>
      <c r="N8" s="30">
        <f>'Income Statem_2006'!N8</f>
        <v>0</v>
      </c>
      <c r="O8" s="30">
        <f>M33</f>
        <v>459529.47142857144</v>
      </c>
      <c r="P8" s="30">
        <f>'Income Statem_2006'!P8</f>
        <v>0</v>
      </c>
      <c r="Q8" s="30">
        <f>O33</f>
        <v>496219.14</v>
      </c>
      <c r="R8" s="30">
        <f>'Income Statem_2006'!R8</f>
        <v>0</v>
      </c>
      <c r="S8" s="30">
        <f>Q33</f>
        <v>532908.80857142853</v>
      </c>
      <c r="T8" s="30">
        <f>'Income Statem_2006'!T8</f>
        <v>0</v>
      </c>
      <c r="U8" s="30">
        <f>S33</f>
        <v>569598.47714285715</v>
      </c>
      <c r="V8" s="30">
        <f>'Income Statem_2006'!V8</f>
        <v>0</v>
      </c>
      <c r="W8" s="30">
        <f>U33</f>
        <v>615262.46571428573</v>
      </c>
      <c r="X8" s="30">
        <f>'Income Statem_2006'!X8</f>
        <v>0</v>
      </c>
      <c r="Y8" s="30">
        <f>W33</f>
        <v>660926.45428571431</v>
      </c>
      <c r="Z8" s="30"/>
      <c r="AA8" s="30"/>
      <c r="AD8" s="50" t="s">
        <v>73</v>
      </c>
      <c r="AE8" s="194">
        <v>0</v>
      </c>
      <c r="AF8" s="5"/>
    </row>
    <row r="9" spans="2:35" x14ac:dyDescent="0.3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D9" s="50" t="s">
        <v>74</v>
      </c>
      <c r="AE9" s="195">
        <v>0</v>
      </c>
      <c r="AF9" s="5"/>
    </row>
    <row r="10" spans="2:35" ht="14.65" x14ac:dyDescent="0.6">
      <c r="B10" s="9" t="s">
        <v>65</v>
      </c>
      <c r="C10" s="29">
        <f>'Income Statem_2008'!C8</f>
        <v>90634.25</v>
      </c>
      <c r="D10" s="29">
        <f>'Income Statem_2008'!D8</f>
        <v>0</v>
      </c>
      <c r="E10" s="29">
        <f>'Income Statem_2008'!E8</f>
        <v>90634.25</v>
      </c>
      <c r="F10" s="29">
        <f>'Income Statem_2008'!F8</f>
        <v>0</v>
      </c>
      <c r="G10" s="29">
        <f>'Income Statem_2008'!G8</f>
        <v>90634.25</v>
      </c>
      <c r="H10" s="29">
        <f>'Income Statem_2008'!H8</f>
        <v>0</v>
      </c>
      <c r="I10" s="29">
        <f>'Income Statem_2008'!I8</f>
        <v>99982.5</v>
      </c>
      <c r="J10" s="29">
        <f>'Income Statem_2008'!J8</f>
        <v>0</v>
      </c>
      <c r="K10" s="29">
        <f>'Income Statem_2008'!K8</f>
        <v>99982.5</v>
      </c>
      <c r="L10" s="29">
        <f>'Income Statem_2008'!L8</f>
        <v>0</v>
      </c>
      <c r="M10" s="29">
        <f>'Income Statem_2008'!M8</f>
        <v>99982.5</v>
      </c>
      <c r="N10" s="29">
        <f>'Income Statem_2008'!N8</f>
        <v>0</v>
      </c>
      <c r="O10" s="29">
        <f>'Income Statem_2008'!O8</f>
        <v>99982.5</v>
      </c>
      <c r="P10" s="29">
        <f>'Income Statem_2008'!P8</f>
        <v>0</v>
      </c>
      <c r="Q10" s="29">
        <f>'Income Statem_2008'!Q8</f>
        <v>99982.5</v>
      </c>
      <c r="R10" s="29">
        <f>'Income Statem_2008'!R8</f>
        <v>0</v>
      </c>
      <c r="S10" s="29">
        <f>'Income Statem_2008'!S8</f>
        <v>99982.5</v>
      </c>
      <c r="T10" s="29">
        <f>'Income Statem_2008'!T8</f>
        <v>0</v>
      </c>
      <c r="U10" s="29">
        <f>'Income Statem_2008'!U8</f>
        <v>109330.75000000001</v>
      </c>
      <c r="V10" s="29">
        <f>'Income Statem_2008'!V8</f>
        <v>0</v>
      </c>
      <c r="W10" s="29">
        <f>'Income Statem_2008'!W8</f>
        <v>109330.75000000001</v>
      </c>
      <c r="X10" s="29">
        <f>'Income Statem_2008'!X8</f>
        <v>0</v>
      </c>
      <c r="Y10" s="29">
        <f>'Income Statem_2008'!Y8</f>
        <v>109330.75000000001</v>
      </c>
      <c r="Z10" s="29"/>
      <c r="AA10" s="29">
        <f>SUM(C10:Y10)</f>
        <v>1199790</v>
      </c>
      <c r="AD10" s="50"/>
      <c r="AE10" s="49"/>
      <c r="AF10" s="5"/>
    </row>
    <row r="11" spans="2:35" x14ac:dyDescent="0.35"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D11" s="50"/>
      <c r="AE11" s="49"/>
      <c r="AF11" s="5"/>
    </row>
    <row r="12" spans="2:35" x14ac:dyDescent="0.35">
      <c r="B12" s="9" t="s">
        <v>67</v>
      </c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D12" s="50"/>
      <c r="AE12" s="50"/>
      <c r="AF12" s="5"/>
    </row>
    <row r="13" spans="2:35" x14ac:dyDescent="0.35">
      <c r="B13" s="9" t="str">
        <f>CONCATENATE("        ",'Income Statem_2006'!AD10)</f>
        <v xml:space="preserve">        Salaries</v>
      </c>
      <c r="C13" s="27">
        <f>'Income Statem_2008'!C16</f>
        <v>35520</v>
      </c>
      <c r="D13" s="27">
        <f>'Income Statem_2008'!D16</f>
        <v>0</v>
      </c>
      <c r="E13" s="27">
        <f>'Income Statem_2008'!E16</f>
        <v>35520</v>
      </c>
      <c r="F13" s="27">
        <f>'Income Statem_2008'!F16</f>
        <v>0</v>
      </c>
      <c r="G13" s="27">
        <f>'Income Statem_2008'!G16</f>
        <v>35520</v>
      </c>
      <c r="H13" s="27">
        <f>'Income Statem_2008'!H16</f>
        <v>0</v>
      </c>
      <c r="I13" s="27">
        <f>'Income Statem_2008'!I16</f>
        <v>35520</v>
      </c>
      <c r="J13" s="27">
        <f>'Income Statem_2008'!J16</f>
        <v>0</v>
      </c>
      <c r="K13" s="27">
        <f>'Income Statem_2008'!K16</f>
        <v>35520</v>
      </c>
      <c r="L13" s="27">
        <f>'Income Statem_2008'!L16</f>
        <v>0</v>
      </c>
      <c r="M13" s="27">
        <f>'Income Statem_2008'!M16</f>
        <v>35520</v>
      </c>
      <c r="N13" s="27">
        <f>'Income Statem_2008'!N16</f>
        <v>0</v>
      </c>
      <c r="O13" s="27">
        <f>'Income Statem_2008'!O16</f>
        <v>35520</v>
      </c>
      <c r="P13" s="27">
        <f>'Income Statem_2008'!P16</f>
        <v>0</v>
      </c>
      <c r="Q13" s="27">
        <f>'Income Statem_2008'!Q16</f>
        <v>35520</v>
      </c>
      <c r="R13" s="27">
        <f>'Income Statem_2008'!R16</f>
        <v>0</v>
      </c>
      <c r="S13" s="27">
        <f>'Income Statem_2008'!S16</f>
        <v>35520</v>
      </c>
      <c r="T13" s="27">
        <f>'Income Statem_2008'!T16</f>
        <v>0</v>
      </c>
      <c r="U13" s="27">
        <f>'Income Statem_2008'!U16</f>
        <v>35520</v>
      </c>
      <c r="V13" s="27">
        <f>'Income Statem_2008'!V16</f>
        <v>0</v>
      </c>
      <c r="W13" s="27">
        <f>'Income Statem_2008'!W16</f>
        <v>35520</v>
      </c>
      <c r="X13" s="27">
        <f>'Income Statem_2008'!X16</f>
        <v>0</v>
      </c>
      <c r="Y13" s="27">
        <f>'Income Statem_2008'!Y16</f>
        <v>35520</v>
      </c>
      <c r="Z13" s="27"/>
      <c r="AA13" s="27">
        <f t="shared" ref="AA13:AA18" si="0">SUM(C13:Y13)</f>
        <v>426240</v>
      </c>
      <c r="AD13" s="50"/>
      <c r="AE13" s="50"/>
      <c r="AF13" s="5"/>
    </row>
    <row r="14" spans="2:35" x14ac:dyDescent="0.35">
      <c r="B14" s="9" t="str">
        <f>CONCATENATE("        ","Distribution")</f>
        <v xml:space="preserve">        Distribution</v>
      </c>
      <c r="C14" s="27">
        <f>'Income Statem_2008'!C22-'Income Statem_2008'!C21</f>
        <v>7053.9414285714302</v>
      </c>
      <c r="D14" s="27"/>
      <c r="E14" s="27">
        <f>'Income Statem_2008'!E22-'Income Statem_2008'!E21</f>
        <v>7053.9414285714302</v>
      </c>
      <c r="F14" s="27"/>
      <c r="G14" s="27">
        <f>'Income Statem_2008'!G22-'Income Statem_2008'!G21</f>
        <v>7053.9414285714302</v>
      </c>
      <c r="H14" s="27"/>
      <c r="I14" s="27">
        <f>'Income Statem_2008'!I22-'Income Statem_2008'!I21</f>
        <v>7427.8714285714286</v>
      </c>
      <c r="J14" s="27"/>
      <c r="K14" s="27">
        <f>'Income Statem_2008'!K22-'Income Statem_2008'!K21</f>
        <v>7427.8714285714286</v>
      </c>
      <c r="L14" s="27"/>
      <c r="M14" s="27">
        <f>'Income Statem_2008'!M22-'Income Statem_2008'!M21</f>
        <v>7427.8714285714286</v>
      </c>
      <c r="N14" s="27"/>
      <c r="O14" s="27">
        <f>'Income Statem_2008'!O22-'Income Statem_2008'!O21</f>
        <v>7427.8714285714286</v>
      </c>
      <c r="P14" s="27"/>
      <c r="Q14" s="27">
        <f>'Income Statem_2008'!Q22-'Income Statem_2008'!Q21</f>
        <v>7427.8714285714286</v>
      </c>
      <c r="R14" s="27"/>
      <c r="S14" s="27">
        <f>'Income Statem_2008'!S22-'Income Statem_2008'!S21</f>
        <v>7427.8714285714286</v>
      </c>
      <c r="T14" s="27"/>
      <c r="U14" s="27">
        <f>'Income Statem_2008'!U22-'Income Statem_2008'!U21</f>
        <v>7801.8014285714307</v>
      </c>
      <c r="V14" s="27"/>
      <c r="W14" s="27">
        <f>'Income Statem_2008'!W22-'Income Statem_2008'!W21</f>
        <v>7801.8014285714307</v>
      </c>
      <c r="X14" s="27"/>
      <c r="Y14" s="27">
        <f>'Income Statem_2008'!Y22-'Income Statem_2008'!Y21</f>
        <v>7801.8014285714307</v>
      </c>
      <c r="Z14" s="27"/>
      <c r="AA14" s="27">
        <f t="shared" si="0"/>
        <v>89134.457142857165</v>
      </c>
      <c r="AD14" s="50"/>
      <c r="AE14" s="50"/>
      <c r="AF14" s="5"/>
    </row>
    <row r="15" spans="2:35" x14ac:dyDescent="0.35">
      <c r="B15" s="9" t="str">
        <f>CONCATENATE("        ","Online-Marketing")</f>
        <v xml:space="preserve">        Online-Marketing</v>
      </c>
      <c r="C15" s="27">
        <f>'Income Statem_2008'!AF21</f>
        <v>43264</v>
      </c>
      <c r="D15" s="27"/>
      <c r="E15" s="27">
        <v>0</v>
      </c>
      <c r="F15" s="27"/>
      <c r="G15" s="27">
        <v>0</v>
      </c>
      <c r="H15" s="27"/>
      <c r="I15" s="27">
        <v>0</v>
      </c>
      <c r="J15" s="27"/>
      <c r="K15" s="27">
        <v>0</v>
      </c>
      <c r="L15" s="27"/>
      <c r="M15" s="27">
        <v>0</v>
      </c>
      <c r="N15" s="27"/>
      <c r="O15" s="27">
        <v>0</v>
      </c>
      <c r="P15" s="27"/>
      <c r="Q15" s="27">
        <v>0</v>
      </c>
      <c r="R15" s="27"/>
      <c r="S15" s="27">
        <v>0</v>
      </c>
      <c r="T15" s="27"/>
      <c r="U15" s="27">
        <v>0</v>
      </c>
      <c r="V15" s="27"/>
      <c r="W15" s="27">
        <v>0</v>
      </c>
      <c r="X15" s="27"/>
      <c r="Y15" s="27">
        <v>0</v>
      </c>
      <c r="Z15" s="27"/>
      <c r="AA15" s="27">
        <f t="shared" si="0"/>
        <v>43264</v>
      </c>
      <c r="AD15" s="50"/>
      <c r="AE15" s="49"/>
      <c r="AF15" s="5"/>
    </row>
    <row r="16" spans="2:35" x14ac:dyDescent="0.35">
      <c r="B16" s="71" t="str">
        <f>CONCATENATE("        ",'Income Statem_2006'!AD24)</f>
        <v xml:space="preserve">        General and Administrativ</v>
      </c>
      <c r="C16" s="27">
        <f>'Income Statem_2008'!C32</f>
        <v>20344.96</v>
      </c>
      <c r="D16" s="27">
        <f>'Income Statem_2008'!D32</f>
        <v>0</v>
      </c>
      <c r="E16" s="27">
        <f>'Income Statem_2008'!E32</f>
        <v>20344.96</v>
      </c>
      <c r="F16" s="27">
        <f>'Income Statem_2008'!F32</f>
        <v>0</v>
      </c>
      <c r="G16" s="27">
        <f>'Income Statem_2008'!G32</f>
        <v>20344.96</v>
      </c>
      <c r="H16" s="27">
        <f>'Income Statem_2008'!H32</f>
        <v>0</v>
      </c>
      <c r="I16" s="27">
        <f>'Income Statem_2008'!I32</f>
        <v>20344.96</v>
      </c>
      <c r="J16" s="27">
        <f>'Income Statem_2008'!J32</f>
        <v>0</v>
      </c>
      <c r="K16" s="27">
        <f>'Income Statem_2008'!K32</f>
        <v>20344.96</v>
      </c>
      <c r="L16" s="27">
        <f>'Income Statem_2008'!L32</f>
        <v>0</v>
      </c>
      <c r="M16" s="27">
        <f>'Income Statem_2008'!M32</f>
        <v>20344.96</v>
      </c>
      <c r="N16" s="27">
        <f>'Income Statem_2008'!N32</f>
        <v>0</v>
      </c>
      <c r="O16" s="27">
        <f>'Income Statem_2008'!O32</f>
        <v>20344.96</v>
      </c>
      <c r="P16" s="27">
        <f>'Income Statem_2008'!P32</f>
        <v>0</v>
      </c>
      <c r="Q16" s="27">
        <f>'Income Statem_2008'!Q32</f>
        <v>20344.96</v>
      </c>
      <c r="R16" s="27">
        <f>'Income Statem_2008'!R32</f>
        <v>0</v>
      </c>
      <c r="S16" s="27">
        <f>'Income Statem_2008'!S32</f>
        <v>20344.96</v>
      </c>
      <c r="T16" s="27">
        <f>'Income Statem_2008'!T32</f>
        <v>0</v>
      </c>
      <c r="U16" s="27">
        <f>'Income Statem_2008'!U32</f>
        <v>20344.96</v>
      </c>
      <c r="V16" s="27">
        <f>'Income Statem_2008'!V32</f>
        <v>0</v>
      </c>
      <c r="W16" s="27">
        <f>'Income Statem_2008'!W32</f>
        <v>20344.96</v>
      </c>
      <c r="X16" s="27">
        <f>'Income Statem_2008'!X32</f>
        <v>0</v>
      </c>
      <c r="Y16" s="27">
        <f>'Income Statem_2008'!Y32</f>
        <v>20344.96</v>
      </c>
      <c r="Z16" s="27"/>
      <c r="AA16" s="27">
        <f t="shared" si="0"/>
        <v>244139.51999999993</v>
      </c>
      <c r="AD16" s="5"/>
      <c r="AE16" s="5"/>
      <c r="AF16" s="5"/>
    </row>
    <row r="17" spans="2:32" x14ac:dyDescent="0.35">
      <c r="B17" s="9" t="str">
        <f>CONCATENATE("        ","Interests Paid")</f>
        <v xml:space="preserve">        Interests Paid</v>
      </c>
      <c r="C17" s="28">
        <v>0</v>
      </c>
      <c r="D17" s="27"/>
      <c r="E17" s="28">
        <v>0</v>
      </c>
      <c r="F17" s="27"/>
      <c r="G17" s="28">
        <v>0</v>
      </c>
      <c r="H17" s="27"/>
      <c r="I17" s="28">
        <v>0</v>
      </c>
      <c r="J17" s="27"/>
      <c r="K17" s="28">
        <v>0</v>
      </c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  <c r="V17" s="27"/>
      <c r="W17" s="28">
        <v>0</v>
      </c>
      <c r="X17" s="27"/>
      <c r="Y17" s="28">
        <f>'Income Statem_2008'!AF41</f>
        <v>20000</v>
      </c>
      <c r="Z17" s="27"/>
      <c r="AA17" s="28">
        <f t="shared" si="0"/>
        <v>20000</v>
      </c>
      <c r="AD17" s="50"/>
      <c r="AF17" s="5"/>
    </row>
    <row r="18" spans="2:32" ht="14.65" x14ac:dyDescent="0.6">
      <c r="B18" s="9" t="str">
        <f>CONCATENATE("    ","Total")</f>
        <v xml:space="preserve">    Total</v>
      </c>
      <c r="C18" s="29">
        <f>SUM(C13:C17)</f>
        <v>106182.90142857144</v>
      </c>
      <c r="D18" s="29"/>
      <c r="E18" s="29">
        <f>SUM(E13:E17)</f>
        <v>62918.901428571429</v>
      </c>
      <c r="F18" s="29"/>
      <c r="G18" s="29">
        <f>SUM(G13:G17)</f>
        <v>62918.901428571429</v>
      </c>
      <c r="H18" s="29"/>
      <c r="I18" s="29">
        <f>SUM(I13:I17)</f>
        <v>63292.83142857143</v>
      </c>
      <c r="J18" s="29"/>
      <c r="K18" s="29">
        <f>SUM(K13:K17)</f>
        <v>63292.83142857143</v>
      </c>
      <c r="L18" s="29"/>
      <c r="M18" s="29">
        <f>SUM(M13:M17)</f>
        <v>63292.83142857143</v>
      </c>
      <c r="N18" s="29"/>
      <c r="O18" s="29">
        <f>SUM(O13:O17)</f>
        <v>63292.83142857143</v>
      </c>
      <c r="P18" s="29"/>
      <c r="Q18" s="29">
        <f>SUM(Q13:Q17)</f>
        <v>63292.83142857143</v>
      </c>
      <c r="R18" s="29"/>
      <c r="S18" s="29">
        <f>SUM(S13:S17)</f>
        <v>63292.83142857143</v>
      </c>
      <c r="T18" s="29"/>
      <c r="U18" s="29">
        <f>SUM(U13:U17)</f>
        <v>63666.76142857143</v>
      </c>
      <c r="V18" s="29"/>
      <c r="W18" s="29">
        <f>SUM(W13:W17)</f>
        <v>63666.76142857143</v>
      </c>
      <c r="X18" s="29"/>
      <c r="Y18" s="29">
        <f>SUM(Y13:Y17)</f>
        <v>83666.761428571423</v>
      </c>
      <c r="Z18" s="29"/>
      <c r="AA18" s="29">
        <f t="shared" si="0"/>
        <v>822777.97714285704</v>
      </c>
      <c r="AD18" s="50"/>
      <c r="AF18" s="5"/>
    </row>
    <row r="19" spans="2:32" x14ac:dyDescent="0.35"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D19" s="50"/>
      <c r="AE19" s="5"/>
      <c r="AF19" s="49"/>
    </row>
    <row r="20" spans="2:32" ht="14.65" x14ac:dyDescent="0.6">
      <c r="B20" s="9" t="s">
        <v>70</v>
      </c>
      <c r="C20" s="29">
        <f t="shared" ref="C20:AA20" si="1">C10-C18</f>
        <v>-15548.651428571437</v>
      </c>
      <c r="D20" s="29">
        <f t="shared" si="1"/>
        <v>0</v>
      </c>
      <c r="E20" s="29">
        <f t="shared" si="1"/>
        <v>27715.348571428571</v>
      </c>
      <c r="F20" s="29">
        <f t="shared" si="1"/>
        <v>0</v>
      </c>
      <c r="G20" s="29">
        <f t="shared" si="1"/>
        <v>27715.348571428571</v>
      </c>
      <c r="H20" s="29">
        <f t="shared" si="1"/>
        <v>0</v>
      </c>
      <c r="I20" s="29">
        <f t="shared" si="1"/>
        <v>36689.66857142857</v>
      </c>
      <c r="J20" s="29">
        <f t="shared" si="1"/>
        <v>0</v>
      </c>
      <c r="K20" s="29">
        <f t="shared" si="1"/>
        <v>36689.66857142857</v>
      </c>
      <c r="L20" s="29">
        <f t="shared" si="1"/>
        <v>0</v>
      </c>
      <c r="M20" s="29">
        <f t="shared" si="1"/>
        <v>36689.66857142857</v>
      </c>
      <c r="N20" s="29">
        <f t="shared" si="1"/>
        <v>0</v>
      </c>
      <c r="O20" s="29">
        <f t="shared" si="1"/>
        <v>36689.66857142857</v>
      </c>
      <c r="P20" s="29">
        <f t="shared" si="1"/>
        <v>0</v>
      </c>
      <c r="Q20" s="29">
        <f t="shared" si="1"/>
        <v>36689.66857142857</v>
      </c>
      <c r="R20" s="29">
        <f t="shared" si="1"/>
        <v>0</v>
      </c>
      <c r="S20" s="29">
        <f t="shared" si="1"/>
        <v>36689.66857142857</v>
      </c>
      <c r="T20" s="29">
        <f t="shared" si="1"/>
        <v>0</v>
      </c>
      <c r="U20" s="29">
        <f t="shared" si="1"/>
        <v>45663.988571428585</v>
      </c>
      <c r="V20" s="29">
        <f t="shared" si="1"/>
        <v>0</v>
      </c>
      <c r="W20" s="29">
        <f t="shared" si="1"/>
        <v>45663.988571428585</v>
      </c>
      <c r="X20" s="29">
        <f t="shared" si="1"/>
        <v>0</v>
      </c>
      <c r="Y20" s="29">
        <f t="shared" si="1"/>
        <v>25663.988571428592</v>
      </c>
      <c r="Z20" s="29">
        <f t="shared" si="1"/>
        <v>0</v>
      </c>
      <c r="AA20" s="29">
        <f t="shared" si="1"/>
        <v>377012.02285714296</v>
      </c>
      <c r="AD20" s="50"/>
      <c r="AE20" s="49"/>
      <c r="AF20" s="5"/>
    </row>
    <row r="21" spans="2:32" x14ac:dyDescent="0.35"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D21" s="50"/>
      <c r="AE21" s="49"/>
      <c r="AF21" s="5"/>
    </row>
    <row r="22" spans="2:32" ht="14.65" x14ac:dyDescent="0.6">
      <c r="B22" s="9" t="s">
        <v>71</v>
      </c>
      <c r="C22" s="29">
        <v>0</v>
      </c>
      <c r="D22" s="29"/>
      <c r="E22" s="29">
        <f>SUM(E21:E21)</f>
        <v>0</v>
      </c>
      <c r="F22" s="29"/>
      <c r="G22" s="29">
        <f>SUM(G21:G21)</f>
        <v>0</v>
      </c>
      <c r="H22" s="29"/>
      <c r="I22" s="29">
        <f>SUM(I21:I21)</f>
        <v>0</v>
      </c>
      <c r="J22" s="29"/>
      <c r="K22" s="29">
        <f>SUM(K21:K21)</f>
        <v>0</v>
      </c>
      <c r="L22" s="29"/>
      <c r="M22" s="29">
        <f>SUM(M21:M21)</f>
        <v>0</v>
      </c>
      <c r="N22" s="29"/>
      <c r="O22" s="29">
        <f>SUM(O21:O21)</f>
        <v>0</v>
      </c>
      <c r="P22" s="29"/>
      <c r="Q22" s="29">
        <f>SUM(Q21:Q21)</f>
        <v>0</v>
      </c>
      <c r="R22" s="29"/>
      <c r="S22" s="29">
        <f>SUM(S21:S21)</f>
        <v>0</v>
      </c>
      <c r="T22" s="29"/>
      <c r="U22" s="29">
        <f>SUM(U21:U21)</f>
        <v>0</v>
      </c>
      <c r="V22" s="29"/>
      <c r="W22" s="29">
        <f>SUM(W21:W21)</f>
        <v>0</v>
      </c>
      <c r="X22" s="29"/>
      <c r="Y22" s="29">
        <f>SUM(Y21:Y21)</f>
        <v>0</v>
      </c>
      <c r="Z22" s="29"/>
      <c r="AA22" s="29">
        <f>SUM(C22:Y22)</f>
        <v>0</v>
      </c>
      <c r="AD22" s="50"/>
      <c r="AE22" s="50"/>
      <c r="AF22" s="5"/>
    </row>
    <row r="23" spans="2:32" x14ac:dyDescent="0.35"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D23" s="50"/>
      <c r="AE23" s="50"/>
      <c r="AF23" s="5"/>
    </row>
    <row r="24" spans="2:32" x14ac:dyDescent="0.35">
      <c r="B24" s="9" t="s">
        <v>72</v>
      </c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D24" s="50"/>
      <c r="AE24" s="49"/>
      <c r="AF24" s="5"/>
    </row>
    <row r="25" spans="2:32" x14ac:dyDescent="0.35">
      <c r="B25" s="9" t="str">
        <f>CONCATENATE("        ",AD8)</f>
        <v xml:space="preserve">        Capitalization Founder</v>
      </c>
      <c r="C25" s="27">
        <f>AE8</f>
        <v>0</v>
      </c>
      <c r="D25" s="27"/>
      <c r="E25" s="27">
        <v>0</v>
      </c>
      <c r="F25" s="27"/>
      <c r="G25" s="27">
        <v>0</v>
      </c>
      <c r="H25" s="27"/>
      <c r="I25" s="27">
        <v>0</v>
      </c>
      <c r="J25" s="27"/>
      <c r="K25" s="27">
        <v>0</v>
      </c>
      <c r="L25" s="27"/>
      <c r="M25" s="27">
        <v>0</v>
      </c>
      <c r="N25" s="27"/>
      <c r="O25" s="27">
        <v>0</v>
      </c>
      <c r="P25" s="27"/>
      <c r="Q25" s="27">
        <v>0</v>
      </c>
      <c r="R25" s="27"/>
      <c r="S25" s="27">
        <v>0</v>
      </c>
      <c r="T25" s="27"/>
      <c r="U25" s="27">
        <v>0</v>
      </c>
      <c r="V25" s="27"/>
      <c r="W25" s="27">
        <v>0</v>
      </c>
      <c r="X25" s="27"/>
      <c r="Y25" s="27">
        <v>0</v>
      </c>
      <c r="Z25" s="27"/>
      <c r="AA25" s="27">
        <f>SUM(C25:Y25)</f>
        <v>0</v>
      </c>
      <c r="AD25" s="50"/>
      <c r="AE25" s="49"/>
      <c r="AF25" s="5"/>
    </row>
    <row r="26" spans="2:32" x14ac:dyDescent="0.35">
      <c r="B26" s="9" t="str">
        <f>CONCATENATE("        ","Cash Receipts from Bank Loan")</f>
        <v xml:space="preserve">        Cash Receipts from Bank Loan</v>
      </c>
      <c r="C26" s="27">
        <v>0</v>
      </c>
      <c r="D26" s="27"/>
      <c r="E26" s="27">
        <v>0</v>
      </c>
      <c r="F26" s="27"/>
      <c r="G26" s="27">
        <v>0</v>
      </c>
      <c r="H26" s="27"/>
      <c r="I26" s="27">
        <v>0</v>
      </c>
      <c r="J26" s="27"/>
      <c r="K26" s="27">
        <v>0</v>
      </c>
      <c r="L26" s="27"/>
      <c r="M26" s="27">
        <v>0</v>
      </c>
      <c r="N26" s="27"/>
      <c r="O26" s="27">
        <v>0</v>
      </c>
      <c r="P26" s="27"/>
      <c r="Q26" s="27">
        <v>0</v>
      </c>
      <c r="R26" s="27"/>
      <c r="S26" s="27">
        <v>0</v>
      </c>
      <c r="T26" s="27"/>
      <c r="U26" s="27">
        <v>0</v>
      </c>
      <c r="V26" s="27"/>
      <c r="W26" s="27">
        <v>0</v>
      </c>
      <c r="X26" s="27"/>
      <c r="Y26" s="27">
        <v>0</v>
      </c>
      <c r="Z26" s="27"/>
      <c r="AA26" s="27">
        <f>SUM(C26:Y26)</f>
        <v>0</v>
      </c>
      <c r="AD26" s="50"/>
      <c r="AE26" s="49"/>
      <c r="AF26" s="5"/>
    </row>
    <row r="27" spans="2:32" x14ac:dyDescent="0.35">
      <c r="B27" s="9" t="str">
        <f>CONCATENATE("        ",AD9)</f>
        <v xml:space="preserve">        Cash Receipts from Investors</v>
      </c>
      <c r="C27" s="27">
        <f>AE9</f>
        <v>0</v>
      </c>
      <c r="D27" s="27"/>
      <c r="E27" s="27">
        <v>0</v>
      </c>
      <c r="F27" s="27"/>
      <c r="G27" s="27">
        <v>0</v>
      </c>
      <c r="H27" s="27"/>
      <c r="I27" s="27">
        <v>0</v>
      </c>
      <c r="J27" s="27"/>
      <c r="K27" s="27">
        <v>0</v>
      </c>
      <c r="L27" s="27"/>
      <c r="M27" s="27">
        <v>0</v>
      </c>
      <c r="N27" s="27"/>
      <c r="O27" s="27">
        <v>0</v>
      </c>
      <c r="P27" s="27"/>
      <c r="Q27" s="27">
        <v>0</v>
      </c>
      <c r="R27" s="27"/>
      <c r="S27" s="27">
        <v>0</v>
      </c>
      <c r="T27" s="27"/>
      <c r="U27" s="27">
        <v>0</v>
      </c>
      <c r="V27" s="27"/>
      <c r="W27" s="27">
        <v>0</v>
      </c>
      <c r="X27" s="27"/>
      <c r="Y27" s="27">
        <v>0</v>
      </c>
      <c r="Z27" s="27"/>
      <c r="AA27" s="27">
        <f>SUM(C27:Y27)</f>
        <v>0</v>
      </c>
      <c r="AD27" s="50"/>
      <c r="AE27" s="49"/>
      <c r="AF27" s="5"/>
    </row>
    <row r="28" spans="2:32" x14ac:dyDescent="0.35">
      <c r="B28" s="9" t="str">
        <f>CONCATENATE("        ","Cash Outflows from Repaying Loans")</f>
        <v xml:space="preserve">        Cash Outflows from Repaying Loans</v>
      </c>
      <c r="C28" s="28">
        <v>0</v>
      </c>
      <c r="D28" s="27"/>
      <c r="E28" s="28">
        <v>0</v>
      </c>
      <c r="F28" s="27"/>
      <c r="G28" s="28">
        <v>0</v>
      </c>
      <c r="H28" s="27"/>
      <c r="I28" s="28">
        <v>0</v>
      </c>
      <c r="J28" s="27"/>
      <c r="K28" s="28">
        <v>0</v>
      </c>
      <c r="L28" s="27"/>
      <c r="M28" s="28">
        <v>0</v>
      </c>
      <c r="N28" s="27"/>
      <c r="O28" s="28">
        <v>0</v>
      </c>
      <c r="P28" s="27"/>
      <c r="Q28" s="28">
        <v>0</v>
      </c>
      <c r="R28" s="27"/>
      <c r="S28" s="28">
        <v>0</v>
      </c>
      <c r="T28" s="27"/>
      <c r="U28" s="28">
        <v>0</v>
      </c>
      <c r="V28" s="27"/>
      <c r="W28" s="28">
        <v>0</v>
      </c>
      <c r="X28" s="27"/>
      <c r="Y28" s="28">
        <f>-'Income Statem_2006'!AE41</f>
        <v>-200000</v>
      </c>
      <c r="Z28" s="27"/>
      <c r="AA28" s="28">
        <f>SUM(C28:Y28)</f>
        <v>-200000</v>
      </c>
      <c r="AD28" s="50"/>
      <c r="AE28" s="49"/>
      <c r="AF28" s="5"/>
    </row>
    <row r="29" spans="2:32" x14ac:dyDescent="0.35">
      <c r="B29" s="9" t="s">
        <v>75</v>
      </c>
      <c r="C29" s="27">
        <f t="shared" ref="C29:AA29" si="2">SUM(C25:C28)</f>
        <v>0</v>
      </c>
      <c r="D29" s="27">
        <f t="shared" si="2"/>
        <v>0</v>
      </c>
      <c r="E29" s="27">
        <f t="shared" si="2"/>
        <v>0</v>
      </c>
      <c r="F29" s="27">
        <f t="shared" si="2"/>
        <v>0</v>
      </c>
      <c r="G29" s="27">
        <f t="shared" si="2"/>
        <v>0</v>
      </c>
      <c r="H29" s="27">
        <f t="shared" si="2"/>
        <v>0</v>
      </c>
      <c r="I29" s="27">
        <f t="shared" si="2"/>
        <v>0</v>
      </c>
      <c r="J29" s="27">
        <f t="shared" si="2"/>
        <v>0</v>
      </c>
      <c r="K29" s="27">
        <f t="shared" si="2"/>
        <v>0</v>
      </c>
      <c r="L29" s="27">
        <f t="shared" si="2"/>
        <v>0</v>
      </c>
      <c r="M29" s="27">
        <f t="shared" si="2"/>
        <v>0</v>
      </c>
      <c r="N29" s="27">
        <f t="shared" si="2"/>
        <v>0</v>
      </c>
      <c r="O29" s="27">
        <f t="shared" si="2"/>
        <v>0</v>
      </c>
      <c r="P29" s="27">
        <f t="shared" si="2"/>
        <v>0</v>
      </c>
      <c r="Q29" s="27">
        <f t="shared" si="2"/>
        <v>0</v>
      </c>
      <c r="R29" s="27">
        <f t="shared" si="2"/>
        <v>0</v>
      </c>
      <c r="S29" s="27">
        <f t="shared" si="2"/>
        <v>0</v>
      </c>
      <c r="T29" s="27">
        <f t="shared" si="2"/>
        <v>0</v>
      </c>
      <c r="U29" s="27">
        <f t="shared" si="2"/>
        <v>0</v>
      </c>
      <c r="V29" s="27">
        <f t="shared" si="2"/>
        <v>0</v>
      </c>
      <c r="W29" s="27">
        <f t="shared" si="2"/>
        <v>0</v>
      </c>
      <c r="X29" s="27">
        <f t="shared" si="2"/>
        <v>0</v>
      </c>
      <c r="Y29" s="27">
        <f t="shared" si="2"/>
        <v>-200000</v>
      </c>
      <c r="Z29" s="27">
        <f t="shared" si="2"/>
        <v>0</v>
      </c>
      <c r="AA29" s="27">
        <f t="shared" si="2"/>
        <v>-200000</v>
      </c>
      <c r="AD29" s="50"/>
      <c r="AE29" s="49"/>
      <c r="AF29" s="5"/>
    </row>
    <row r="30" spans="2:32" x14ac:dyDescent="0.35"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D30" s="50"/>
      <c r="AE30" s="49"/>
      <c r="AF30" s="5"/>
    </row>
    <row r="31" spans="2:32" ht="13.5" x14ac:dyDescent="0.45">
      <c r="B31" s="9" t="s">
        <v>3</v>
      </c>
      <c r="C31" s="51">
        <f>C20+C22+C29</f>
        <v>-15548.651428571437</v>
      </c>
      <c r="D31" s="27"/>
      <c r="E31" s="51">
        <f>E20+E22+E29</f>
        <v>27715.348571428571</v>
      </c>
      <c r="F31" s="27"/>
      <c r="G31" s="51">
        <f>G20+G22+G29</f>
        <v>27715.348571428571</v>
      </c>
      <c r="H31" s="27"/>
      <c r="I31" s="51">
        <f>I20+I22+I29</f>
        <v>36689.66857142857</v>
      </c>
      <c r="J31" s="27"/>
      <c r="K31" s="51">
        <f>K20+K22+K29</f>
        <v>36689.66857142857</v>
      </c>
      <c r="L31" s="27"/>
      <c r="M31" s="51">
        <f>M20+M22+M29</f>
        <v>36689.66857142857</v>
      </c>
      <c r="N31" s="27"/>
      <c r="O31" s="51">
        <f>O20+O22+O29</f>
        <v>36689.66857142857</v>
      </c>
      <c r="P31" s="27"/>
      <c r="Q31" s="51">
        <f>Q20+Q22+Q29</f>
        <v>36689.66857142857</v>
      </c>
      <c r="R31" s="27"/>
      <c r="S31" s="51">
        <f>S20+S22+S29</f>
        <v>36689.66857142857</v>
      </c>
      <c r="T31" s="27"/>
      <c r="U31" s="51">
        <f>U20+U22+U29</f>
        <v>45663.988571428585</v>
      </c>
      <c r="V31" s="27"/>
      <c r="W31" s="51">
        <f>W20+W22+W29</f>
        <v>45663.988571428585</v>
      </c>
      <c r="X31" s="27"/>
      <c r="Y31" s="51">
        <f>Y20+Y22+Y29</f>
        <v>-174336.01142857142</v>
      </c>
      <c r="Z31" s="27"/>
      <c r="AA31" s="51">
        <f>AA20+AA22+AA29</f>
        <v>177012.02285714296</v>
      </c>
      <c r="AD31" s="50"/>
      <c r="AE31" s="49"/>
      <c r="AF31" s="5"/>
    </row>
    <row r="32" spans="2:32" x14ac:dyDescent="0.35"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D32" s="50"/>
      <c r="AE32" s="49"/>
      <c r="AF32" s="5"/>
    </row>
    <row r="33" spans="2:32" ht="13.5" x14ac:dyDescent="0.45">
      <c r="B33" s="9" t="s">
        <v>4</v>
      </c>
      <c r="C33" s="30">
        <f>C8+C31</f>
        <v>294029.76857142861</v>
      </c>
      <c r="D33" s="30"/>
      <c r="E33" s="30">
        <f>E8+E31</f>
        <v>321745.11714285717</v>
      </c>
      <c r="F33" s="30"/>
      <c r="G33" s="30">
        <f>G8+G31</f>
        <v>349460.46571428573</v>
      </c>
      <c r="H33" s="30"/>
      <c r="I33" s="30">
        <f>I8+I31</f>
        <v>386150.1342857143</v>
      </c>
      <c r="J33" s="30"/>
      <c r="K33" s="30">
        <f>K8+K31</f>
        <v>422839.80285714287</v>
      </c>
      <c r="L33" s="30"/>
      <c r="M33" s="30">
        <f>M8+M31</f>
        <v>459529.47142857144</v>
      </c>
      <c r="N33" s="30"/>
      <c r="O33" s="30">
        <f>O8+O31</f>
        <v>496219.14</v>
      </c>
      <c r="P33" s="30"/>
      <c r="Q33" s="30">
        <f>Q8+Q31</f>
        <v>532908.80857142853</v>
      </c>
      <c r="R33" s="30"/>
      <c r="S33" s="30">
        <f>S8+S31</f>
        <v>569598.47714285715</v>
      </c>
      <c r="T33" s="30"/>
      <c r="U33" s="30">
        <f>U8+U31</f>
        <v>615262.46571428573</v>
      </c>
      <c r="V33" s="30"/>
      <c r="W33" s="30">
        <f>W8+W31</f>
        <v>660926.45428571431</v>
      </c>
      <c r="X33" s="30"/>
      <c r="Y33" s="30">
        <f>Y8+Y31</f>
        <v>486590.44285714289</v>
      </c>
      <c r="Z33" s="27"/>
      <c r="AA33" s="27"/>
      <c r="AD33" s="50"/>
      <c r="AE33" s="49"/>
      <c r="AF33" s="5"/>
    </row>
    <row r="34" spans="2:32" ht="14.65" x14ac:dyDescent="0.6"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D34" s="50"/>
      <c r="AE34" s="50"/>
      <c r="AF34" s="5"/>
    </row>
    <row r="35" spans="2:32" x14ac:dyDescent="0.35"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D35" s="50"/>
      <c r="AE35" s="50"/>
      <c r="AF35" s="5"/>
    </row>
    <row r="36" spans="2:32" x14ac:dyDescent="0.3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D36" s="50"/>
      <c r="AE36" s="49"/>
      <c r="AF36" s="23"/>
    </row>
    <row r="37" spans="2:32" x14ac:dyDescent="0.35"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D37" s="50"/>
      <c r="AE37" s="49"/>
      <c r="AF37" s="23"/>
    </row>
    <row r="38" spans="2:32" x14ac:dyDescent="0.35"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D38" s="50"/>
      <c r="AE38" s="49"/>
      <c r="AF38" s="23"/>
    </row>
    <row r="39" spans="2:32" x14ac:dyDescent="0.35"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50"/>
      <c r="AE39" s="49"/>
      <c r="AF39" s="23"/>
    </row>
    <row r="40" spans="2:32" ht="14.65" x14ac:dyDescent="0.6"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</row>
    <row r="41" spans="2:32" x14ac:dyDescent="0.35"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</row>
    <row r="42" spans="2:32" ht="13.5" x14ac:dyDescent="0.45"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</row>
    <row r="43" spans="2:32" x14ac:dyDescent="0.35"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</row>
    <row r="44" spans="2:32" ht="13.5" x14ac:dyDescent="0.4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2:32" x14ac:dyDescent="0.35">
      <c r="C45" s="13"/>
      <c r="E45" s="13"/>
      <c r="G45" s="13"/>
      <c r="I45" s="13"/>
      <c r="K45" s="13"/>
      <c r="M45" s="13"/>
      <c r="O45" s="13"/>
      <c r="Q45" s="13"/>
      <c r="S45" s="13"/>
      <c r="U45" s="13"/>
      <c r="W45" s="13"/>
      <c r="Y45" s="13"/>
      <c r="AA45" s="13"/>
    </row>
    <row r="50" spans="3:27" x14ac:dyDescent="0.35"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</row>
    <row r="51" spans="3:27" x14ac:dyDescent="0.35"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</row>
    <row r="66" spans="31:31" ht="13.5" customHeight="1" x14ac:dyDescent="0.35"/>
    <row r="68" spans="31:31" hidden="1" x14ac:dyDescent="0.35">
      <c r="AE68">
        <v>0</v>
      </c>
    </row>
    <row r="69" spans="31:31" hidden="1" x14ac:dyDescent="0.35">
      <c r="AE69">
        <v>0</v>
      </c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Y43"/>
  <sheetViews>
    <sheetView showGridLines="0" topLeftCell="B1" zoomScale="75" workbookViewId="0">
      <selection activeCell="E9" sqref="E9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104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Flow_2006'!C33</f>
        <v>404216.5</v>
      </c>
      <c r="D11" s="88"/>
      <c r="E11" s="88">
        <f>'Cash Flow_2006'!E33</f>
        <v>377437</v>
      </c>
      <c r="F11" s="88"/>
      <c r="G11" s="88">
        <f>'Cash Flow_2006'!G33</f>
        <v>357161.5</v>
      </c>
      <c r="H11" s="88"/>
      <c r="I11" s="88">
        <f>'Cash Flow_2006'!I33</f>
        <v>328487.02</v>
      </c>
      <c r="J11" s="88"/>
      <c r="K11" s="88">
        <f>'Cash Flow_2006'!K33</f>
        <v>306121.42000000004</v>
      </c>
      <c r="L11" s="88"/>
      <c r="M11" s="88">
        <f>'Cash Flow_2006'!M33</f>
        <v>283755.82000000007</v>
      </c>
      <c r="N11" s="88"/>
      <c r="O11" s="88">
        <f>'Cash Flow_2006'!O33</f>
        <v>261390.22000000006</v>
      </c>
      <c r="P11" s="88"/>
      <c r="Q11" s="88">
        <f>'Cash Flow_2006'!Q33</f>
        <v>239024.62000000005</v>
      </c>
      <c r="R11" s="88"/>
      <c r="S11" s="88">
        <f>'Cash Flow_2006'!S33</f>
        <v>222967.90000000005</v>
      </c>
      <c r="T11" s="88"/>
      <c r="U11" s="88">
        <f>'Cash Flow_2006'!U33</f>
        <v>213220.06000000006</v>
      </c>
      <c r="V11" s="88"/>
      <c r="W11" s="88">
        <f>'Cash Flow_2006'!W33</f>
        <v>209781.10000000006</v>
      </c>
      <c r="X11" s="88"/>
      <c r="Y11" s="88">
        <f>'Cash Flow_2006'!Y33</f>
        <v>192651.02000000008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Flow_2006'!C15-'Income Statem_2006'!C21</f>
        <v>36666.666666666664</v>
      </c>
      <c r="E12" s="88">
        <f>C12-'Income Statem_2006'!E21</f>
        <v>33333.333333333328</v>
      </c>
      <c r="F12" s="88"/>
      <c r="G12" s="88">
        <f>E12-'Income Statem_2006'!G21</f>
        <v>29999.999999999996</v>
      </c>
      <c r="H12" s="88"/>
      <c r="I12" s="88">
        <f>G12-'Income Statem_2006'!I21</f>
        <v>26666.666666666664</v>
      </c>
      <c r="J12" s="88"/>
      <c r="K12" s="88">
        <f>I12-'Income Statem_2006'!K21</f>
        <v>23333.333333333332</v>
      </c>
      <c r="L12" s="88"/>
      <c r="M12" s="88">
        <f>K12-'Income Statem_2006'!M21</f>
        <v>20000</v>
      </c>
      <c r="N12" s="88"/>
      <c r="O12" s="88">
        <f>M12-'Income Statem_2006'!O21</f>
        <v>16666.666666666668</v>
      </c>
      <c r="P12" s="88"/>
      <c r="Q12" s="88">
        <f>O12-'Income Statem_2006'!Q21</f>
        <v>13333.333333333334</v>
      </c>
      <c r="R12" s="88"/>
      <c r="S12" s="88">
        <f>Q12-'Income Statem_2006'!S21</f>
        <v>10000</v>
      </c>
      <c r="T12" s="88"/>
      <c r="U12" s="88">
        <f>S12-'Income Statem_2006'!U21</f>
        <v>6666.6666666666661</v>
      </c>
      <c r="V12" s="88"/>
      <c r="W12" s="88">
        <f>U12-'Income Statem_2006'!W21</f>
        <v>3333.3333333333326</v>
      </c>
      <c r="X12" s="88"/>
      <c r="Y12" s="88">
        <f>W12-'Income Statem_2006'!Y21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Statem_2006'!AE38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'Income Statem_2006'!AG38</f>
        <v>2708.3333333333335</v>
      </c>
      <c r="E15" s="88">
        <f>C15+'Income Statem_2006'!E38</f>
        <v>5416.666666666667</v>
      </c>
      <c r="F15" s="88"/>
      <c r="G15" s="88">
        <f>E15+'Income Statem_2006'!G38</f>
        <v>8125</v>
      </c>
      <c r="H15" s="88"/>
      <c r="I15" s="88">
        <f>G15+'Income Statem_2006'!I38</f>
        <v>10833.333333333334</v>
      </c>
      <c r="J15" s="88"/>
      <c r="K15" s="88">
        <f>I15+'Income Statem_2006'!K38</f>
        <v>13541.666666666668</v>
      </c>
      <c r="L15" s="88"/>
      <c r="M15" s="88">
        <f>K15+'Income Statem_2006'!M38</f>
        <v>16250.000000000002</v>
      </c>
      <c r="N15" s="88"/>
      <c r="O15" s="88">
        <f>M15+'Income Statem_2006'!O38</f>
        <v>18958.333333333336</v>
      </c>
      <c r="P15" s="88"/>
      <c r="Q15" s="88">
        <f>O15+'Income Statem_2006'!Q38</f>
        <v>21666.666666666668</v>
      </c>
      <c r="R15" s="88"/>
      <c r="S15" s="88">
        <f>Q15+'Income Statem_2006'!S38</f>
        <v>24375</v>
      </c>
      <c r="T15" s="88"/>
      <c r="U15" s="88">
        <f>S15+'Income Statem_2006'!U38</f>
        <v>27083.333333333332</v>
      </c>
      <c r="V15" s="88"/>
      <c r="W15" s="88">
        <f>U15+'Income Statem_2006'!W38</f>
        <v>29791.666666666664</v>
      </c>
      <c r="X15" s="88"/>
      <c r="Y15" s="88">
        <f>W15+'Income Statem_2006'!Y38</f>
        <v>32499.999999999996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518174.83333333337</v>
      </c>
      <c r="D17" s="89"/>
      <c r="E17" s="89">
        <f>E11+E12+E14-E15</f>
        <v>485353.66666666663</v>
      </c>
      <c r="F17" s="89"/>
      <c r="G17" s="89">
        <f>G11+G12+G14-G15</f>
        <v>459036.5</v>
      </c>
      <c r="H17" s="89"/>
      <c r="I17" s="89">
        <f>I11+I12+I14-I15</f>
        <v>424320.35333333339</v>
      </c>
      <c r="J17" s="89"/>
      <c r="K17" s="89">
        <f>K11+K12+K14-K15</f>
        <v>395913.08666666667</v>
      </c>
      <c r="L17" s="89"/>
      <c r="M17" s="89">
        <f>M11+M12+M14-M15</f>
        <v>367505.82000000007</v>
      </c>
      <c r="N17" s="89"/>
      <c r="O17" s="89">
        <f>O11+O12+O14-O15</f>
        <v>339098.5533333334</v>
      </c>
      <c r="P17" s="89"/>
      <c r="Q17" s="89">
        <f>Q11+Q12+Q14-Q15</f>
        <v>310691.28666666668</v>
      </c>
      <c r="R17" s="89"/>
      <c r="S17" s="89">
        <f>S11+S12+S14-S15</f>
        <v>288592.90000000002</v>
      </c>
      <c r="T17" s="89"/>
      <c r="U17" s="89">
        <f>U11+U12+U14-U15</f>
        <v>272803.39333333337</v>
      </c>
      <c r="V17" s="89"/>
      <c r="W17" s="89">
        <f>W11+W12+W14-W15</f>
        <v>263322.76666666672</v>
      </c>
      <c r="X17" s="89"/>
      <c r="Y17" s="89">
        <f>Y11+Y12+Y14-Y15</f>
        <v>240151.02000000008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Statem_2006'!C43</f>
        <v>1666.6666666666667</v>
      </c>
      <c r="E23" s="88">
        <f>C23+'Income Statem_2006'!E43</f>
        <v>3333.3333333333335</v>
      </c>
      <c r="F23" s="88"/>
      <c r="G23" s="88">
        <f>E23+'Income Statem_2006'!G43</f>
        <v>5000</v>
      </c>
      <c r="H23" s="88"/>
      <c r="I23" s="88">
        <f>G23+'Income Statem_2006'!I43</f>
        <v>6666.666666666667</v>
      </c>
      <c r="J23" s="88"/>
      <c r="K23" s="88">
        <f>I23+'Income Statem_2006'!K43</f>
        <v>8333.3333333333339</v>
      </c>
      <c r="L23" s="88"/>
      <c r="M23" s="88">
        <f>K23+'Income Statem_2006'!M43</f>
        <v>10000</v>
      </c>
      <c r="N23" s="88"/>
      <c r="O23" s="88">
        <f>M23+'Income Statem_2006'!O43</f>
        <v>11666.666666666666</v>
      </c>
      <c r="P23" s="88"/>
      <c r="Q23" s="88">
        <f>O23+'Income Statem_2006'!Q43</f>
        <v>13333.333333333332</v>
      </c>
      <c r="R23" s="88"/>
      <c r="S23" s="88">
        <f>Q23+'Income Statem_2006'!S43</f>
        <v>14999.999999999998</v>
      </c>
      <c r="T23" s="88"/>
      <c r="U23" s="88">
        <f>S23+'Income Statem_2006'!U43</f>
        <v>16666.666666666664</v>
      </c>
      <c r="V23" s="88"/>
      <c r="W23" s="88">
        <f>U23+'Income Statem_2006'!W43</f>
        <v>18333.333333333332</v>
      </c>
      <c r="X23" s="88"/>
      <c r="Y23" s="88">
        <f>W23+'Income Statem_2006'!Y43-'Cash Flow_2006'!Y17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'Income Statem_2006'!C46</f>
        <v>-10047.550000000001</v>
      </c>
      <c r="D24" s="88"/>
      <c r="E24" s="88">
        <f>C24+'Income Statem_2006'!E46</f>
        <v>-20393.900000000001</v>
      </c>
      <c r="F24" s="88"/>
      <c r="G24" s="88">
        <f>E24+'Income Statem_2006'!G46</f>
        <v>-28789.050000000003</v>
      </c>
      <c r="H24" s="88"/>
      <c r="I24" s="88">
        <f>G24+'Income Statem_2006'!I46</f>
        <v>-39703.894</v>
      </c>
      <c r="J24" s="88"/>
      <c r="K24" s="88">
        <f>I24+'Income Statem_2006'!K46</f>
        <v>-48726.074000000001</v>
      </c>
      <c r="L24" s="88"/>
      <c r="M24" s="88">
        <f>K24+'Income Statem_2006'!M46</f>
        <v>-57748.254000000001</v>
      </c>
      <c r="N24" s="88"/>
      <c r="O24" s="88">
        <f>M24+'Income Statem_2006'!O46</f>
        <v>-66770.434000000008</v>
      </c>
      <c r="P24" s="88"/>
      <c r="Q24" s="88">
        <f>O24+'Income Statem_2006'!Q46</f>
        <v>-75792.614000000001</v>
      </c>
      <c r="R24" s="88"/>
      <c r="S24" s="88">
        <f>Q24+'Income Statem_2006'!S46</f>
        <v>-82922.13</v>
      </c>
      <c r="T24" s="88"/>
      <c r="U24" s="88">
        <f>S24+'Income Statem_2006'!U46</f>
        <v>-88158.982000000004</v>
      </c>
      <c r="V24" s="88"/>
      <c r="W24" s="88">
        <f>U24+'Income Statem_2006'!W46</f>
        <v>-91503.17</v>
      </c>
      <c r="X24" s="88"/>
      <c r="Y24" s="88">
        <f>W24+'Income Statem_2006'!Y46</f>
        <v>-92954.694000000003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Statem_2006'!AE41</f>
        <v>200000</v>
      </c>
      <c r="D27" s="88"/>
      <c r="E27" s="88">
        <f>C27</f>
        <v>200000</v>
      </c>
      <c r="F27" s="88"/>
      <c r="G27" s="88">
        <f t="shared" ref="G27:Y27" si="0">E27</f>
        <v>200000</v>
      </c>
      <c r="H27" s="88"/>
      <c r="I27" s="88">
        <f t="shared" si="0"/>
        <v>200000</v>
      </c>
      <c r="J27" s="88"/>
      <c r="K27" s="88">
        <f t="shared" si="0"/>
        <v>200000</v>
      </c>
      <c r="L27" s="88"/>
      <c r="M27" s="88">
        <f t="shared" si="0"/>
        <v>200000</v>
      </c>
      <c r="N27" s="88"/>
      <c r="O27" s="88">
        <f t="shared" si="0"/>
        <v>200000</v>
      </c>
      <c r="P27" s="88"/>
      <c r="Q27" s="88">
        <f t="shared" si="0"/>
        <v>200000</v>
      </c>
      <c r="R27" s="88"/>
      <c r="S27" s="88">
        <f t="shared" si="0"/>
        <v>200000</v>
      </c>
      <c r="T27" s="88"/>
      <c r="U27" s="88">
        <f t="shared" si="0"/>
        <v>200000</v>
      </c>
      <c r="V27" s="88"/>
      <c r="W27" s="88">
        <f t="shared" si="0"/>
        <v>200000</v>
      </c>
      <c r="X27" s="88"/>
      <c r="Y27" s="88">
        <f t="shared" si="0"/>
        <v>200000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'Cash Flow_2006'!AE8+'Cash Flow_2006'!AE9</f>
        <v>350000</v>
      </c>
      <c r="E30" s="88">
        <f>C30+C31</f>
        <v>326555.71666666667</v>
      </c>
      <c r="F30" s="88"/>
      <c r="G30" s="88">
        <f>E30+E31</f>
        <v>302414.23333333334</v>
      </c>
      <c r="H30" s="88"/>
      <c r="I30" s="88">
        <f>G30+G31</f>
        <v>282825.55</v>
      </c>
      <c r="J30" s="88"/>
      <c r="K30" s="88">
        <f>I30+I31</f>
        <v>257357.58066666668</v>
      </c>
      <c r="L30" s="88"/>
      <c r="M30" s="88">
        <f>K30+K31</f>
        <v>236305.82733333335</v>
      </c>
      <c r="N30" s="88"/>
      <c r="O30" s="88">
        <f>M30+M31</f>
        <v>215254.07400000002</v>
      </c>
      <c r="P30" s="88"/>
      <c r="Q30" s="88">
        <f>O30+O31</f>
        <v>194202.3206666667</v>
      </c>
      <c r="R30" s="88"/>
      <c r="S30" s="88">
        <f>Q30+Q31</f>
        <v>173150.56733333337</v>
      </c>
      <c r="T30" s="88"/>
      <c r="U30" s="88">
        <f>S30+S31</f>
        <v>156515.03000000003</v>
      </c>
      <c r="V30" s="88"/>
      <c r="W30" s="88">
        <f>U30+U31</f>
        <v>144295.7086666667</v>
      </c>
      <c r="X30" s="88"/>
      <c r="Y30" s="88">
        <f>W30+W31</f>
        <v>136492.60333333339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Statem_2006'!C48</f>
        <v>-23444.283333333333</v>
      </c>
      <c r="D31" s="88"/>
      <c r="E31" s="88">
        <f>'Income Statem_2006'!E48</f>
        <v>-24141.483333333337</v>
      </c>
      <c r="F31" s="88"/>
      <c r="G31" s="88">
        <f>'Income Statem_2006'!G48</f>
        <v>-19588.683333333338</v>
      </c>
      <c r="H31" s="88"/>
      <c r="I31" s="88">
        <f>'Income Statem_2006'!I48</f>
        <v>-25467.969333333327</v>
      </c>
      <c r="J31" s="88"/>
      <c r="K31" s="88">
        <f>'Income Statem_2006'!K48</f>
        <v>-21051.753333333338</v>
      </c>
      <c r="L31" s="88"/>
      <c r="M31" s="88">
        <f>'Income Statem_2006'!M48</f>
        <v>-21051.753333333338</v>
      </c>
      <c r="N31" s="88"/>
      <c r="O31" s="88">
        <f>'Income Statem_2006'!O48</f>
        <v>-21051.753333333338</v>
      </c>
      <c r="P31" s="88"/>
      <c r="Q31" s="88">
        <f>'Income Statem_2006'!Q48</f>
        <v>-21051.753333333338</v>
      </c>
      <c r="R31" s="88"/>
      <c r="S31" s="88">
        <f>'Income Statem_2006'!S48</f>
        <v>-16635.537333333334</v>
      </c>
      <c r="T31" s="88"/>
      <c r="U31" s="88">
        <f>'Income Statem_2006'!U48</f>
        <v>-12219.321333333335</v>
      </c>
      <c r="V31" s="88"/>
      <c r="W31" s="88">
        <f>'Income Statem_2006'!W48</f>
        <v>-7803.1053333333257</v>
      </c>
      <c r="X31" s="88"/>
      <c r="Y31" s="88">
        <f>'Income Statem_2006'!Y48</f>
        <v>-3386.8893333333331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518174.83333333337</v>
      </c>
      <c r="D33" s="89"/>
      <c r="E33" s="89">
        <f>E23+E24+E27+E30+E31</f>
        <v>485353.66666666669</v>
      </c>
      <c r="F33" s="89"/>
      <c r="G33" s="89">
        <f t="shared" ref="G33:Y33" si="1">G23+G24+G27+G30+G31</f>
        <v>459036.5</v>
      </c>
      <c r="H33" s="89"/>
      <c r="I33" s="89">
        <f t="shared" si="1"/>
        <v>424320.35333333333</v>
      </c>
      <c r="J33" s="89"/>
      <c r="K33" s="89">
        <f t="shared" si="1"/>
        <v>395913.08666666667</v>
      </c>
      <c r="L33" s="89"/>
      <c r="M33" s="89">
        <f t="shared" si="1"/>
        <v>367505.82</v>
      </c>
      <c r="N33" s="89"/>
      <c r="O33" s="89">
        <f t="shared" si="1"/>
        <v>339098.55333333329</v>
      </c>
      <c r="P33" s="89"/>
      <c r="Q33" s="89">
        <f t="shared" si="1"/>
        <v>310691.28666666668</v>
      </c>
      <c r="R33" s="89"/>
      <c r="S33" s="89">
        <f t="shared" si="1"/>
        <v>288592.90000000002</v>
      </c>
      <c r="T33" s="89"/>
      <c r="U33" s="89">
        <f t="shared" si="1"/>
        <v>272803.39333333337</v>
      </c>
      <c r="V33" s="89"/>
      <c r="W33" s="89">
        <f t="shared" si="1"/>
        <v>263322.76666666672</v>
      </c>
      <c r="X33" s="89"/>
      <c r="Y33" s="89">
        <f t="shared" si="1"/>
        <v>240151.02000000005</v>
      </c>
    </row>
    <row r="34" spans="2:25" x14ac:dyDescent="0.35">
      <c r="C34" s="88"/>
    </row>
    <row r="35" spans="2:25" x14ac:dyDescent="0.35"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Y43"/>
  <sheetViews>
    <sheetView showGridLines="0" topLeftCell="B1" zoomScale="75" workbookViewId="0">
      <selection activeCell="G22" sqref="G22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134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Flow_2007'!C33</f>
        <v>159153.90416666676</v>
      </c>
      <c r="D11" s="88"/>
      <c r="E11" s="88">
        <f>'Cash Flow_2007'!E33</f>
        <v>167256.78833333345</v>
      </c>
      <c r="F11" s="88"/>
      <c r="G11" s="88">
        <f>'Cash Flow_2007'!G33</f>
        <v>175359.6725000001</v>
      </c>
      <c r="H11" s="88"/>
      <c r="I11" s="88">
        <f>'Cash Flow_2007'!I33</f>
        <v>190236.95583333343</v>
      </c>
      <c r="J11" s="88"/>
      <c r="K11" s="88">
        <f>'Cash Flow_2007'!K33</f>
        <v>205114.23916666675</v>
      </c>
      <c r="L11" s="88"/>
      <c r="M11" s="88">
        <f>'Cash Flow_2007'!M33</f>
        <v>219991.52250000008</v>
      </c>
      <c r="N11" s="88"/>
      <c r="O11" s="88">
        <f>'Cash Flow_2007'!O33</f>
        <v>234868.8058333334</v>
      </c>
      <c r="P11" s="88"/>
      <c r="Q11" s="88">
        <f>'Cash Flow_2007'!Q33</f>
        <v>249746.08916666673</v>
      </c>
      <c r="R11" s="88"/>
      <c r="S11" s="88">
        <f>'Cash Flow_2007'!S33</f>
        <v>264623.37250000006</v>
      </c>
      <c r="T11" s="88"/>
      <c r="U11" s="88">
        <f>'Cash Flow_2007'!U33</f>
        <v>286275.05500000005</v>
      </c>
      <c r="V11" s="88"/>
      <c r="W11" s="88">
        <f>'Cash Flow_2007'!W33</f>
        <v>307926.73750000005</v>
      </c>
      <c r="X11" s="88"/>
      <c r="Y11" s="88">
        <f>'Cash Flow_2007'!Y33</f>
        <v>309578.42000000004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Flow_2007'!C15-'Income Statem_2007'!C21</f>
        <v>38133.333333333336</v>
      </c>
      <c r="E12" s="88">
        <f>C12-'Income Statem_2007'!E21</f>
        <v>34666.666666666672</v>
      </c>
      <c r="F12" s="88"/>
      <c r="G12" s="88">
        <f>E12-'Income Statem_2007'!G21</f>
        <v>31200.000000000004</v>
      </c>
      <c r="H12" s="88"/>
      <c r="I12" s="88">
        <f>G12-'Income Statem_2007'!I21</f>
        <v>27733.333333333336</v>
      </c>
      <c r="J12" s="88"/>
      <c r="K12" s="88">
        <f>I12-'Income Statem_2007'!K21</f>
        <v>24266.666666666668</v>
      </c>
      <c r="L12" s="88"/>
      <c r="M12" s="88">
        <f>K12-'Income Statem_2007'!M21</f>
        <v>20800</v>
      </c>
      <c r="N12" s="88"/>
      <c r="O12" s="88">
        <f>M12-'Income Statem_2007'!O21</f>
        <v>17333.333333333332</v>
      </c>
      <c r="P12" s="88"/>
      <c r="Q12" s="88">
        <f>O12-'Income Statem_2007'!Q21</f>
        <v>13866.666666666666</v>
      </c>
      <c r="R12" s="88"/>
      <c r="S12" s="88">
        <f>Q12-'Income Statem_2007'!S21</f>
        <v>10400</v>
      </c>
      <c r="T12" s="88"/>
      <c r="U12" s="88">
        <f>S12-'Income Statem_2007'!U21</f>
        <v>6933.3333333333339</v>
      </c>
      <c r="V12" s="88"/>
      <c r="W12" s="88">
        <f>U12-'Income Statem_2007'!W21</f>
        <v>3466.6666666666674</v>
      </c>
      <c r="X12" s="88"/>
      <c r="Y12" s="88">
        <f>W12-'Income Statem_2007'!Y21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Statem_2007'!AE38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'Balance Sheet_2006'!Y15+'Income Statem_2007'!AG38</f>
        <v>35208.333333333328</v>
      </c>
      <c r="E15" s="88">
        <f>C15+'Income Statem_2007'!E38</f>
        <v>37916.666666666664</v>
      </c>
      <c r="F15" s="88"/>
      <c r="G15" s="88">
        <f>E15+'Income Statem_2007'!G38</f>
        <v>40625</v>
      </c>
      <c r="H15" s="88"/>
      <c r="I15" s="88">
        <f>G15+'Income Statem_2007'!I38</f>
        <v>43333.333333333336</v>
      </c>
      <c r="J15" s="88"/>
      <c r="K15" s="88">
        <f>I15+'Income Statem_2007'!K38</f>
        <v>46041.666666666672</v>
      </c>
      <c r="L15" s="88"/>
      <c r="M15" s="88">
        <f>K15+'Income Statem_2007'!M38</f>
        <v>48750.000000000007</v>
      </c>
      <c r="N15" s="88"/>
      <c r="O15" s="88">
        <f>M15+'Income Statem_2007'!O38</f>
        <v>51458.333333333343</v>
      </c>
      <c r="P15" s="88"/>
      <c r="Q15" s="88">
        <f>O15+'Income Statem_2007'!Q38</f>
        <v>54166.666666666679</v>
      </c>
      <c r="R15" s="88"/>
      <c r="S15" s="88">
        <f>Q15+'Income Statem_2007'!S38</f>
        <v>56875.000000000015</v>
      </c>
      <c r="T15" s="88"/>
      <c r="U15" s="88">
        <f>S15+'Income Statem_2007'!U38</f>
        <v>59583.33333333335</v>
      </c>
      <c r="V15" s="88"/>
      <c r="W15" s="88">
        <f>U15+'Income Statem_2007'!W38</f>
        <v>62291.666666666686</v>
      </c>
      <c r="X15" s="88"/>
      <c r="Y15" s="88">
        <f>W15+'Income Statem_2007'!Y38</f>
        <v>65000.000000000022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242078.90416666679</v>
      </c>
      <c r="D17" s="89"/>
      <c r="E17" s="89">
        <f>E11+E12+E14-E15</f>
        <v>244006.78833333348</v>
      </c>
      <c r="F17" s="89"/>
      <c r="G17" s="89">
        <f>G11+G12+G14-G15</f>
        <v>245934.6725000001</v>
      </c>
      <c r="H17" s="89"/>
      <c r="I17" s="89">
        <f>I11+I12+I14-I15</f>
        <v>254636.95583333346</v>
      </c>
      <c r="J17" s="89"/>
      <c r="K17" s="89">
        <f>K11+K12+K14-K15</f>
        <v>263339.2391666667</v>
      </c>
      <c r="L17" s="89"/>
      <c r="M17" s="89">
        <f>M11+M12+M14-M15</f>
        <v>272041.52250000008</v>
      </c>
      <c r="N17" s="89"/>
      <c r="O17" s="89">
        <f>O11+O12+O14-O15</f>
        <v>280743.8058333334</v>
      </c>
      <c r="P17" s="89"/>
      <c r="Q17" s="89">
        <f>Q11+Q12+Q14-Q15</f>
        <v>289446.08916666673</v>
      </c>
      <c r="R17" s="89"/>
      <c r="S17" s="89">
        <f>S11+S12+S14-S15</f>
        <v>298148.37250000006</v>
      </c>
      <c r="T17" s="89"/>
      <c r="U17" s="89">
        <f>U11+U12+U14-U15</f>
        <v>313625.05499999999</v>
      </c>
      <c r="V17" s="89"/>
      <c r="W17" s="89">
        <f>W11+W12+W14-W15</f>
        <v>329101.73750000005</v>
      </c>
      <c r="X17" s="89"/>
      <c r="Y17" s="89">
        <f>Y11+Y12+Y14-Y15</f>
        <v>324578.42000000004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Statem_2007'!C43</f>
        <v>1666.6666666666667</v>
      </c>
      <c r="E23" s="88">
        <f>C23+'Income Statem_2007'!E43</f>
        <v>3333.3333333333335</v>
      </c>
      <c r="F23" s="88"/>
      <c r="G23" s="88">
        <f>E23+'Income Statem_2007'!G43</f>
        <v>5000</v>
      </c>
      <c r="H23" s="88"/>
      <c r="I23" s="88">
        <f>G23+'Income Statem_2007'!I43</f>
        <v>6666.666666666667</v>
      </c>
      <c r="J23" s="88"/>
      <c r="K23" s="88">
        <f>I23+'Income Statem_2007'!K43</f>
        <v>8333.3333333333339</v>
      </c>
      <c r="L23" s="88"/>
      <c r="M23" s="88">
        <f>K23+'Income Statem_2007'!M43</f>
        <v>10000</v>
      </c>
      <c r="N23" s="88"/>
      <c r="O23" s="88">
        <f>M23+'Income Statem_2007'!O43</f>
        <v>11666.666666666666</v>
      </c>
      <c r="P23" s="88"/>
      <c r="Q23" s="88">
        <f>O23+'Income Statem_2007'!Q43</f>
        <v>13333.333333333332</v>
      </c>
      <c r="R23" s="88"/>
      <c r="S23" s="88">
        <f>Q23+'Income Statem_2007'!S43</f>
        <v>14999.999999999998</v>
      </c>
      <c r="T23" s="88"/>
      <c r="U23" s="88">
        <f>S23+'Income Statem_2007'!U43</f>
        <v>16666.666666666664</v>
      </c>
      <c r="V23" s="88"/>
      <c r="W23" s="88">
        <f>U23+'Income Statem_2007'!W43</f>
        <v>18333.333333333332</v>
      </c>
      <c r="X23" s="88"/>
      <c r="Y23" s="88">
        <f>W23+'Income Statem_2007'!Y43-'Cash Flow_2007'!Y17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'Balance Sheet_2006'!Y24+'Income Statem_2007'!C46</f>
        <v>-92876.328750000001</v>
      </c>
      <c r="D24" s="88"/>
      <c r="E24" s="88">
        <f>C24+'Income Statem_2007'!E46</f>
        <v>-92797.963499999998</v>
      </c>
      <c r="F24" s="88"/>
      <c r="G24" s="88">
        <f>E24+'Income Statem_2007'!G46</f>
        <v>-92719.598249999995</v>
      </c>
      <c r="H24" s="88"/>
      <c r="I24" s="88">
        <f>G24+'Income Statem_2007'!I46</f>
        <v>-90608.913249999998</v>
      </c>
      <c r="J24" s="88"/>
      <c r="K24" s="88">
        <f>I24+'Income Statem_2007'!K46</f>
        <v>-88498.22825</v>
      </c>
      <c r="L24" s="88"/>
      <c r="M24" s="88">
        <f>K24+'Income Statem_2007'!M46</f>
        <v>-86387.543250000002</v>
      </c>
      <c r="N24" s="88"/>
      <c r="O24" s="88">
        <f>M24+'Income Statem_2007'!O46</f>
        <v>-84276.858250000005</v>
      </c>
      <c r="P24" s="88"/>
      <c r="Q24" s="88">
        <f>O24+'Income Statem_2007'!Q46</f>
        <v>-82166.173250000007</v>
      </c>
      <c r="R24" s="88"/>
      <c r="S24" s="88">
        <f>Q24+'Income Statem_2007'!S46</f>
        <v>-80055.488250000009</v>
      </c>
      <c r="T24" s="88"/>
      <c r="U24" s="88">
        <f>S24+'Income Statem_2007'!U46</f>
        <v>-75912.483500000002</v>
      </c>
      <c r="V24" s="88"/>
      <c r="W24" s="88">
        <f>U24+'Income Statem_2007'!W46</f>
        <v>-71769.478749999995</v>
      </c>
      <c r="X24" s="88"/>
      <c r="Y24" s="88">
        <f>W24+'Income Statem_2007'!Y46</f>
        <v>-67626.473999999987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Statem_2007'!AE41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Flow_2007'!AA28</f>
        <v>200000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'Balance Sheet_2006'!Y30+'Balance Sheet_2006'!Y31</f>
        <v>133105.71400000007</v>
      </c>
      <c r="E30" s="88">
        <f>C30+C31</f>
        <v>133288.56625000006</v>
      </c>
      <c r="F30" s="88"/>
      <c r="G30" s="88">
        <f>E30+E31</f>
        <v>133471.41850000006</v>
      </c>
      <c r="H30" s="88"/>
      <c r="I30" s="88">
        <f>G30+G31</f>
        <v>133654.27075000005</v>
      </c>
      <c r="J30" s="88"/>
      <c r="K30" s="88">
        <f>I30+I31</f>
        <v>138579.20241666673</v>
      </c>
      <c r="L30" s="88"/>
      <c r="M30" s="88">
        <f>K30+K31</f>
        <v>143504.1340833334</v>
      </c>
      <c r="N30" s="88"/>
      <c r="O30" s="88">
        <f>M30+M31</f>
        <v>148429.06575000007</v>
      </c>
      <c r="P30" s="88"/>
      <c r="Q30" s="88">
        <f>O30+O31</f>
        <v>153353.99741666674</v>
      </c>
      <c r="R30" s="88"/>
      <c r="S30" s="88">
        <f>Q30+Q31</f>
        <v>158278.92908333341</v>
      </c>
      <c r="T30" s="88"/>
      <c r="U30" s="88">
        <f>S30+S31</f>
        <v>163203.86075000008</v>
      </c>
      <c r="V30" s="88"/>
      <c r="W30" s="88">
        <f>U30+U31</f>
        <v>172870.87183333343</v>
      </c>
      <c r="X30" s="88"/>
      <c r="Y30" s="88">
        <f>W30+W31</f>
        <v>182537.88291666677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Statem_2007'!C48</f>
        <v>182.85225000000253</v>
      </c>
      <c r="D31" s="88"/>
      <c r="E31" s="88">
        <f>'Income Statem_2007'!E48</f>
        <v>182.85225000000253</v>
      </c>
      <c r="F31" s="88"/>
      <c r="G31" s="88">
        <f>'Income Statem_2007'!G48</f>
        <v>182.85225000000253</v>
      </c>
      <c r="H31" s="88"/>
      <c r="I31" s="88">
        <f>'Income Statem_2007'!I48</f>
        <v>4924.9316666666609</v>
      </c>
      <c r="J31" s="88"/>
      <c r="K31" s="88">
        <f>'Income Statem_2007'!K48</f>
        <v>4924.9316666666609</v>
      </c>
      <c r="L31" s="88"/>
      <c r="M31" s="88">
        <f>'Income Statem_2007'!M48</f>
        <v>4924.9316666666609</v>
      </c>
      <c r="N31" s="88"/>
      <c r="O31" s="88">
        <f>'Income Statem_2007'!O48</f>
        <v>4924.9316666666609</v>
      </c>
      <c r="P31" s="88"/>
      <c r="Q31" s="88">
        <f>'Income Statem_2007'!Q48</f>
        <v>4924.9316666666609</v>
      </c>
      <c r="R31" s="88"/>
      <c r="S31" s="88">
        <f>'Income Statem_2007'!S48</f>
        <v>4924.9316666666609</v>
      </c>
      <c r="T31" s="88"/>
      <c r="U31" s="88">
        <f>'Income Statem_2007'!U48</f>
        <v>9667.011083333342</v>
      </c>
      <c r="V31" s="88"/>
      <c r="W31" s="88">
        <f>'Income Statem_2007'!W48</f>
        <v>9667.011083333342</v>
      </c>
      <c r="X31" s="88"/>
      <c r="Y31" s="88">
        <f>'Income Statem_2007'!Y48</f>
        <v>9667.011083333342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242078.90416666673</v>
      </c>
      <c r="D33" s="89"/>
      <c r="E33" s="89">
        <f>E23+E24+E27+E30+E31</f>
        <v>244006.78833333339</v>
      </c>
      <c r="F33" s="89"/>
      <c r="G33" s="89">
        <f>G23+G24+G27+G30+G31</f>
        <v>245934.67250000004</v>
      </c>
      <c r="H33" s="89"/>
      <c r="I33" s="89">
        <f>I23+I24+I27+I30+I31</f>
        <v>254636.9558333334</v>
      </c>
      <c r="J33" s="89"/>
      <c r="K33" s="89">
        <f>K23+K24+K27+K30+K31</f>
        <v>263339.2391666667</v>
      </c>
      <c r="L33" s="89"/>
      <c r="M33" s="89">
        <f>M23+M24+M27+M30+M31</f>
        <v>272041.52250000002</v>
      </c>
      <c r="N33" s="89"/>
      <c r="O33" s="89">
        <f>O23+O24+O27+O30+O31</f>
        <v>280743.8058333334</v>
      </c>
      <c r="P33" s="89"/>
      <c r="Q33" s="89">
        <f>Q23+Q24+Q27+Q30+Q31</f>
        <v>289446.08916666673</v>
      </c>
      <c r="R33" s="89"/>
      <c r="S33" s="89">
        <f>S23+S24+S27+S30+S31</f>
        <v>298148.37250000006</v>
      </c>
      <c r="T33" s="89"/>
      <c r="U33" s="89">
        <f>U23+U24+U27+U30+U31</f>
        <v>313625.05500000011</v>
      </c>
      <c r="V33" s="89"/>
      <c r="W33" s="89">
        <f>W23+W24+W27+W30+W31</f>
        <v>329101.7375000001</v>
      </c>
      <c r="X33" s="89"/>
      <c r="Y33" s="89">
        <f>Y23+Y24+Y27+Y30+Y31</f>
        <v>324578.4200000001</v>
      </c>
    </row>
    <row r="34" spans="2:25" x14ac:dyDescent="0.35">
      <c r="C34" s="88"/>
    </row>
    <row r="35" spans="2:25" x14ac:dyDescent="0.35">
      <c r="C35" s="88"/>
      <c r="D35" s="88"/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Y43"/>
  <sheetViews>
    <sheetView showGridLines="0" topLeftCell="B1" zoomScale="75" workbookViewId="0">
      <selection activeCell="I29" sqref="I29"/>
    </sheetView>
  </sheetViews>
  <sheetFormatPr defaultRowHeight="12.75" x14ac:dyDescent="0.35"/>
  <cols>
    <col min="1" max="1" width="0" hidden="1" customWidth="1"/>
    <col min="2" max="2" width="37.59765625" style="9" customWidth="1"/>
    <col min="3" max="3" width="10.73046875" customWidth="1"/>
    <col min="4" max="4" width="0.86328125" customWidth="1"/>
    <col min="5" max="5" width="10.59765625" bestFit="1" customWidth="1"/>
    <col min="6" max="6" width="0.86328125" customWidth="1"/>
    <col min="7" max="7" width="10.59765625" bestFit="1" customWidth="1"/>
    <col min="8" max="8" width="0.86328125" customWidth="1"/>
    <col min="9" max="9" width="10.59765625" bestFit="1" customWidth="1"/>
    <col min="10" max="10" width="0.86328125" customWidth="1"/>
    <col min="11" max="11" width="10.59765625" bestFit="1" customWidth="1"/>
    <col min="12" max="12" width="0.86328125" customWidth="1"/>
    <col min="13" max="13" width="10.59765625" bestFit="1" customWidth="1"/>
    <col min="14" max="14" width="0.86328125" customWidth="1"/>
    <col min="15" max="15" width="10.59765625" bestFit="1" customWidth="1"/>
    <col min="16" max="16" width="0.86328125" customWidth="1"/>
    <col min="17" max="17" width="10.59765625" bestFit="1" customWidth="1"/>
    <col min="18" max="18" width="0.86328125" customWidth="1"/>
    <col min="19" max="19" width="10.59765625" bestFit="1" customWidth="1"/>
    <col min="20" max="20" width="0.86328125" customWidth="1"/>
    <col min="21" max="21" width="10.59765625" bestFit="1" customWidth="1"/>
    <col min="22" max="22" width="0.86328125" customWidth="1"/>
    <col min="23" max="23" width="10.59765625" bestFit="1" customWidth="1"/>
    <col min="24" max="24" width="0.86328125" customWidth="1"/>
    <col min="25" max="25" width="10.59765625" bestFit="1" customWidth="1"/>
  </cols>
  <sheetData>
    <row r="2" spans="2:25" x14ac:dyDescent="0.35">
      <c r="B2" s="24" t="s">
        <v>105</v>
      </c>
      <c r="C2" s="9"/>
      <c r="D2" s="13"/>
      <c r="E2" s="9"/>
      <c r="F2" s="13"/>
      <c r="G2" s="9"/>
      <c r="H2" s="13"/>
      <c r="I2" s="9"/>
      <c r="J2" s="13"/>
      <c r="K2" s="9"/>
      <c r="L2" s="13"/>
      <c r="M2" s="9"/>
      <c r="N2" s="13"/>
      <c r="O2" s="9"/>
      <c r="P2" s="13"/>
      <c r="Q2" s="9"/>
      <c r="R2" s="13"/>
      <c r="S2" s="9"/>
      <c r="T2" s="13"/>
      <c r="U2" s="9"/>
      <c r="V2" s="13"/>
      <c r="W2" s="9"/>
      <c r="X2" s="13"/>
      <c r="Y2" s="9"/>
    </row>
    <row r="3" spans="2:25" x14ac:dyDescent="0.35">
      <c r="C3" s="9"/>
      <c r="D3" s="13"/>
      <c r="E3" s="9"/>
      <c r="F3" s="13"/>
      <c r="G3" s="9"/>
      <c r="H3" s="13"/>
      <c r="I3" s="9"/>
      <c r="J3" s="13"/>
      <c r="K3" s="9"/>
      <c r="L3" s="13"/>
      <c r="M3" s="9"/>
      <c r="N3" s="13"/>
      <c r="O3" s="9"/>
      <c r="P3" s="13"/>
      <c r="Q3" s="9"/>
      <c r="R3" s="13"/>
      <c r="S3" s="9"/>
      <c r="T3" s="13"/>
      <c r="U3" s="9"/>
      <c r="V3" s="13"/>
      <c r="W3" s="9"/>
      <c r="X3" s="13"/>
      <c r="Y3" s="9"/>
    </row>
    <row r="4" spans="2:25" ht="13.15" thickBot="1" x14ac:dyDescent="0.4">
      <c r="B4" s="25" t="s">
        <v>136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</row>
    <row r="5" spans="2:25" x14ac:dyDescent="0.35">
      <c r="C5" s="9"/>
      <c r="D5" s="13"/>
      <c r="E5" s="9"/>
      <c r="F5" s="13"/>
      <c r="G5" s="9"/>
      <c r="H5" s="13"/>
      <c r="I5" s="9"/>
      <c r="J5" s="13"/>
      <c r="K5" s="9"/>
      <c r="L5" s="13"/>
      <c r="M5" s="9"/>
      <c r="N5" s="13"/>
      <c r="O5" s="9"/>
      <c r="P5" s="13"/>
      <c r="Q5" s="9"/>
      <c r="R5" s="13"/>
      <c r="S5" s="9"/>
      <c r="T5" s="13"/>
      <c r="U5" s="9"/>
      <c r="V5" s="13"/>
      <c r="W5" s="9"/>
      <c r="X5" s="13"/>
      <c r="Y5" s="9"/>
    </row>
    <row r="6" spans="2:25" x14ac:dyDescent="0.35">
      <c r="C6" s="26" t="s">
        <v>19</v>
      </c>
      <c r="D6" s="31"/>
      <c r="E6" s="26" t="s">
        <v>18</v>
      </c>
      <c r="F6" s="31"/>
      <c r="G6" s="26" t="s">
        <v>17</v>
      </c>
      <c r="H6" s="31"/>
      <c r="I6" s="26" t="s">
        <v>16</v>
      </c>
      <c r="J6" s="31"/>
      <c r="K6" s="26" t="s">
        <v>15</v>
      </c>
      <c r="L6" s="31"/>
      <c r="M6" s="26" t="s">
        <v>14</v>
      </c>
      <c r="N6" s="31"/>
      <c r="O6" s="26" t="s">
        <v>13</v>
      </c>
      <c r="P6" s="31"/>
      <c r="Q6" s="26" t="s">
        <v>21</v>
      </c>
      <c r="R6" s="31"/>
      <c r="S6" s="26" t="s">
        <v>22</v>
      </c>
      <c r="T6" s="31"/>
      <c r="U6" s="26" t="s">
        <v>25</v>
      </c>
      <c r="V6" s="13"/>
      <c r="W6" s="173" t="s">
        <v>20</v>
      </c>
      <c r="X6" s="174"/>
      <c r="Y6" s="173" t="s">
        <v>12</v>
      </c>
    </row>
    <row r="8" spans="2:25" x14ac:dyDescent="0.35">
      <c r="B8" s="87" t="s">
        <v>96</v>
      </c>
    </row>
    <row r="10" spans="2:25" x14ac:dyDescent="0.35">
      <c r="B10" s="9" t="str">
        <f>CONCATENATE("    ","Current Assets")</f>
        <v xml:space="preserve">    Current Assets</v>
      </c>
    </row>
    <row r="11" spans="2:25" x14ac:dyDescent="0.35">
      <c r="B11" s="9" t="str">
        <f>CONCATENATE("        ","Cash")</f>
        <v xml:space="preserve">        Cash</v>
      </c>
      <c r="C11" s="88">
        <f>'Cash Flow_2008'!C33</f>
        <v>294029.76857142861</v>
      </c>
      <c r="D11" s="88"/>
      <c r="E11" s="88">
        <f>'Cash Flow_2008'!E33</f>
        <v>321745.11714285717</v>
      </c>
      <c r="F11" s="88"/>
      <c r="G11" s="88">
        <f>'Cash Flow_2008'!G33</f>
        <v>349460.46571428573</v>
      </c>
      <c r="H11" s="88"/>
      <c r="I11" s="88">
        <f>'Cash Flow_2008'!I33</f>
        <v>386150.1342857143</v>
      </c>
      <c r="J11" s="88"/>
      <c r="K11" s="88">
        <f>'Cash Flow_2008'!K33</f>
        <v>422839.80285714287</v>
      </c>
      <c r="L11" s="88"/>
      <c r="M11" s="88">
        <f>'Cash Flow_2008'!M33</f>
        <v>459529.47142857144</v>
      </c>
      <c r="N11" s="88"/>
      <c r="O11" s="88">
        <f>'Cash Flow_2008'!O33</f>
        <v>496219.14</v>
      </c>
      <c r="P11" s="88"/>
      <c r="Q11" s="88">
        <f>'Cash Flow_2008'!Q33</f>
        <v>532908.80857142853</v>
      </c>
      <c r="R11" s="88"/>
      <c r="S11" s="88">
        <f>'Cash Flow_2008'!S33</f>
        <v>569598.47714285715</v>
      </c>
      <c r="T11" s="88"/>
      <c r="U11" s="88">
        <f>'Cash Flow_2008'!U33</f>
        <v>615262.46571428573</v>
      </c>
      <c r="V11" s="88"/>
      <c r="W11" s="88">
        <f>'Cash Flow_2008'!W33</f>
        <v>660926.45428571431</v>
      </c>
      <c r="X11" s="88"/>
      <c r="Y11" s="88">
        <f>'Cash Flow_2008'!Y33</f>
        <v>486590.44285714289</v>
      </c>
    </row>
    <row r="12" spans="2:25" x14ac:dyDescent="0.35">
      <c r="B12" s="9" t="str">
        <f>CONCATENATE("        ","Accounts Receivable (Marketing)")</f>
        <v xml:space="preserve">        Accounts Receivable (Marketing)</v>
      </c>
      <c r="C12" s="88">
        <f>'Cash Flow_2008'!C15-'Income Statem_2008'!C21</f>
        <v>39658.666666666664</v>
      </c>
      <c r="E12" s="88">
        <f>C12-'Income Statem_2008'!E21</f>
        <v>36053.333333333328</v>
      </c>
      <c r="F12" s="88"/>
      <c r="G12" s="88">
        <f>E12-'Income Statem_2008'!G21</f>
        <v>32447.999999999996</v>
      </c>
      <c r="H12" s="88"/>
      <c r="I12" s="88">
        <f>G12-'Income Statem_2008'!I21</f>
        <v>28842.666666666664</v>
      </c>
      <c r="J12" s="88"/>
      <c r="K12" s="88">
        <f>I12-'Income Statem_2008'!K21</f>
        <v>25237.333333333332</v>
      </c>
      <c r="L12" s="88"/>
      <c r="M12" s="88">
        <f>K12-'Income Statem_2008'!M21</f>
        <v>21632</v>
      </c>
      <c r="N12" s="88"/>
      <c r="O12" s="88">
        <f>M12-'Income Statem_2008'!O21</f>
        <v>18026.666666666668</v>
      </c>
      <c r="P12" s="88"/>
      <c r="Q12" s="88">
        <f>O12-'Income Statem_2008'!Q21</f>
        <v>14421.333333333334</v>
      </c>
      <c r="R12" s="88"/>
      <c r="S12" s="88">
        <f>Q12-'Income Statem_2008'!S21</f>
        <v>10816</v>
      </c>
      <c r="T12" s="88"/>
      <c r="U12" s="88">
        <f>S12-'Income Statem_2008'!U21</f>
        <v>7210.6666666666661</v>
      </c>
      <c r="V12" s="88"/>
      <c r="W12" s="88">
        <f>U12-'Income Statem_2008'!W21</f>
        <v>3605.3333333333326</v>
      </c>
      <c r="X12" s="88"/>
      <c r="Y12" s="88">
        <f>W12-'Income Statem_2008'!Y21</f>
        <v>0</v>
      </c>
    </row>
    <row r="13" spans="2:25" x14ac:dyDescent="0.35">
      <c r="C13" s="88"/>
    </row>
    <row r="14" spans="2:25" x14ac:dyDescent="0.35">
      <c r="B14" s="9" t="str">
        <f>CONCATENATE("    ","Fixed Assets")</f>
        <v xml:space="preserve">    Fixed Assets</v>
      </c>
      <c r="C14" s="88">
        <f>'Income Statem_2008'!AE38</f>
        <v>80000</v>
      </c>
      <c r="D14" s="88"/>
      <c r="E14" s="88">
        <f>C14</f>
        <v>80000</v>
      </c>
      <c r="F14" s="88"/>
      <c r="G14" s="88">
        <f>E14</f>
        <v>80000</v>
      </c>
      <c r="H14" s="88"/>
      <c r="I14" s="88">
        <f>G14</f>
        <v>80000</v>
      </c>
      <c r="J14" s="88"/>
      <c r="K14" s="88">
        <f>I14</f>
        <v>80000</v>
      </c>
      <c r="L14" s="88"/>
      <c r="M14" s="88">
        <f>K14</f>
        <v>80000</v>
      </c>
      <c r="N14" s="88"/>
      <c r="O14" s="88">
        <f>M14</f>
        <v>80000</v>
      </c>
      <c r="P14" s="88"/>
      <c r="Q14" s="88">
        <f>O14</f>
        <v>80000</v>
      </c>
      <c r="R14" s="88"/>
      <c r="S14" s="88">
        <f>Q14</f>
        <v>80000</v>
      </c>
      <c r="T14" s="88"/>
      <c r="U14" s="88">
        <f>S14</f>
        <v>80000</v>
      </c>
      <c r="V14" s="88"/>
      <c r="W14" s="88">
        <f>U14</f>
        <v>80000</v>
      </c>
      <c r="X14" s="88"/>
      <c r="Y14" s="88">
        <f>W14</f>
        <v>80000</v>
      </c>
    </row>
    <row r="15" spans="2:25" x14ac:dyDescent="0.35">
      <c r="B15" s="9" t="str">
        <f>CONCATENATE("    ","Less: Accumulated Depreciation")</f>
        <v xml:space="preserve">    Less: Accumulated Depreciation</v>
      </c>
      <c r="C15" s="88">
        <f>'Balance Sheet_2007'!Y15+'Income Statem_2008'!AG38</f>
        <v>65625.000000000029</v>
      </c>
      <c r="E15" s="88">
        <f>C15+'Income Statem_2008'!E38</f>
        <v>66250.000000000029</v>
      </c>
      <c r="F15" s="88"/>
      <c r="G15" s="88">
        <f>E15+'Income Statem_2008'!G38</f>
        <v>66875.000000000029</v>
      </c>
      <c r="H15" s="88"/>
      <c r="I15" s="88">
        <f>G15+'Income Statem_2008'!I38</f>
        <v>67500.000000000029</v>
      </c>
      <c r="J15" s="88"/>
      <c r="K15" s="88">
        <f>I15+'Income Statem_2008'!K38</f>
        <v>68125.000000000029</v>
      </c>
      <c r="L15" s="88"/>
      <c r="M15" s="88">
        <f>K15+'Income Statem_2008'!M38</f>
        <v>68750.000000000029</v>
      </c>
      <c r="N15" s="88"/>
      <c r="O15" s="88">
        <f>M15+'Income Statem_2008'!O38</f>
        <v>69375.000000000029</v>
      </c>
      <c r="P15" s="88"/>
      <c r="Q15" s="88">
        <f>O15+'Income Statem_2008'!Q38</f>
        <v>70000.000000000029</v>
      </c>
      <c r="R15" s="88"/>
      <c r="S15" s="88">
        <f>Q15+'Income Statem_2008'!S38</f>
        <v>70625.000000000029</v>
      </c>
      <c r="T15" s="88"/>
      <c r="U15" s="88">
        <f>S15+'Income Statem_2008'!U38</f>
        <v>71250.000000000029</v>
      </c>
      <c r="V15" s="88"/>
      <c r="W15" s="88">
        <f>U15+'Income Statem_2008'!W38</f>
        <v>71875.000000000029</v>
      </c>
      <c r="X15" s="88"/>
      <c r="Y15" s="88">
        <f>W15+'Income Statem_2008'!Y38</f>
        <v>72500.000000000029</v>
      </c>
    </row>
    <row r="16" spans="2:25" x14ac:dyDescent="0.35">
      <c r="C16" s="88"/>
    </row>
    <row r="17" spans="2:25" ht="13.9" x14ac:dyDescent="0.5">
      <c r="B17" s="9" t="s">
        <v>95</v>
      </c>
      <c r="C17" s="89">
        <f>C11+C12+C14-C15</f>
        <v>348063.43523809523</v>
      </c>
      <c r="D17" s="89"/>
      <c r="E17" s="89">
        <f>E11+E12+E14-E15</f>
        <v>371548.45047619042</v>
      </c>
      <c r="F17" s="89"/>
      <c r="G17" s="89">
        <f>G11+G12+G14-G15</f>
        <v>395033.46571428573</v>
      </c>
      <c r="H17" s="89"/>
      <c r="I17" s="89">
        <f>I11+I12+I14-I15</f>
        <v>427492.80095238099</v>
      </c>
      <c r="J17" s="89"/>
      <c r="K17" s="89">
        <f>K11+K12+K14-K15</f>
        <v>459952.13619047613</v>
      </c>
      <c r="L17" s="89"/>
      <c r="M17" s="89">
        <f>M11+M12+M14-M15</f>
        <v>492411.4714285715</v>
      </c>
      <c r="N17" s="89"/>
      <c r="O17" s="89">
        <f>O11+O12+O14-O15</f>
        <v>524870.80666666664</v>
      </c>
      <c r="P17" s="89"/>
      <c r="Q17" s="89">
        <f>Q11+Q12+Q14-Q15</f>
        <v>557330.1419047619</v>
      </c>
      <c r="R17" s="89"/>
      <c r="S17" s="89">
        <f>S11+S12+S14-S15</f>
        <v>589789.47714285715</v>
      </c>
      <c r="T17" s="89"/>
      <c r="U17" s="89">
        <f>U11+U12+U14-U15</f>
        <v>631223.13238095236</v>
      </c>
      <c r="V17" s="89"/>
      <c r="W17" s="89">
        <f>W11+W12+W14-W15</f>
        <v>672656.78761904768</v>
      </c>
      <c r="X17" s="89"/>
      <c r="Y17" s="89">
        <f>Y11+Y12+Y14-Y15</f>
        <v>494090.44285714289</v>
      </c>
    </row>
    <row r="18" spans="2:25" x14ac:dyDescent="0.35">
      <c r="C18" s="88"/>
    </row>
    <row r="19" spans="2:25" x14ac:dyDescent="0.35">
      <c r="C19" s="88"/>
    </row>
    <row r="20" spans="2:25" x14ac:dyDescent="0.35">
      <c r="B20" s="87" t="s">
        <v>97</v>
      </c>
      <c r="C20" s="88"/>
    </row>
    <row r="21" spans="2:25" x14ac:dyDescent="0.35">
      <c r="C21" s="88"/>
    </row>
    <row r="22" spans="2:25" x14ac:dyDescent="0.35">
      <c r="B22" s="9" t="str">
        <f>CONCATENATE("    ","Current Liabilities")</f>
        <v xml:space="preserve">    Current Liabilities</v>
      </c>
      <c r="C22" s="88"/>
    </row>
    <row r="23" spans="2:25" x14ac:dyDescent="0.35">
      <c r="B23" s="9" t="str">
        <f>CONCATENATE("        ","Interests Payable")</f>
        <v xml:space="preserve">        Interests Payable</v>
      </c>
      <c r="C23" s="88">
        <f>'Income Statem_2008'!C43</f>
        <v>1666.6666666666667</v>
      </c>
      <c r="E23" s="88">
        <f>C23+'Income Statem_2008'!E43</f>
        <v>3333.3333333333335</v>
      </c>
      <c r="F23" s="88"/>
      <c r="G23" s="88">
        <f>E23+'Income Statem_2008'!G43</f>
        <v>5000</v>
      </c>
      <c r="H23" s="88"/>
      <c r="I23" s="88">
        <f>G23+'Income Statem_2008'!I43</f>
        <v>6666.666666666667</v>
      </c>
      <c r="J23" s="88"/>
      <c r="K23" s="88">
        <f>I23+'Income Statem_2008'!K43</f>
        <v>8333.3333333333339</v>
      </c>
      <c r="L23" s="88"/>
      <c r="M23" s="88">
        <f>K23+'Income Statem_2008'!M43</f>
        <v>10000</v>
      </c>
      <c r="N23" s="88"/>
      <c r="O23" s="88">
        <f>M23+'Income Statem_2008'!O43</f>
        <v>11666.666666666666</v>
      </c>
      <c r="P23" s="88"/>
      <c r="Q23" s="88">
        <f>O23+'Income Statem_2008'!Q43</f>
        <v>13333.333333333332</v>
      </c>
      <c r="R23" s="88"/>
      <c r="S23" s="88">
        <f>Q23+'Income Statem_2008'!S43</f>
        <v>14999.999999999998</v>
      </c>
      <c r="T23" s="88"/>
      <c r="U23" s="88">
        <f>S23+'Income Statem_2008'!U43</f>
        <v>16666.666666666664</v>
      </c>
      <c r="V23" s="88"/>
      <c r="W23" s="88">
        <f>U23+'Income Statem_2008'!W43</f>
        <v>18333.333333333332</v>
      </c>
      <c r="X23" s="88"/>
      <c r="Y23" s="88">
        <f>W23+'Income Statem_2008'!Y43-'Cash Flow_2008'!Y17</f>
        <v>0</v>
      </c>
    </row>
    <row r="24" spans="2:25" x14ac:dyDescent="0.35">
      <c r="B24" s="9" t="str">
        <f>CONCATENATE("        ","Income Taxes Payable")</f>
        <v xml:space="preserve">        Income Taxes Payable</v>
      </c>
      <c r="C24" s="88">
        <f>'Balance Sheet_2007'!Y24+'Income Statem_2008'!C46</f>
        <v>-61080.969428571421</v>
      </c>
      <c r="D24" s="88"/>
      <c r="E24" s="88">
        <f>C24+'Income Statem_2008'!E46</f>
        <v>-54535.464857142855</v>
      </c>
      <c r="F24" s="88"/>
      <c r="G24" s="88">
        <f>E24+'Income Statem_2008'!G46</f>
        <v>-47989.960285714289</v>
      </c>
      <c r="H24" s="88"/>
      <c r="I24" s="88">
        <f>G24+'Income Statem_2008'!I46</f>
        <v>-38752.159714285721</v>
      </c>
      <c r="J24" s="88"/>
      <c r="K24" s="88">
        <f>I24+'Income Statem_2008'!K46</f>
        <v>-29514.359142857153</v>
      </c>
      <c r="L24" s="88"/>
      <c r="M24" s="88">
        <f>K24+'Income Statem_2008'!M46</f>
        <v>-20276.558571428584</v>
      </c>
      <c r="N24" s="88"/>
      <c r="O24" s="88">
        <f>M24+'Income Statem_2008'!O46</f>
        <v>-11038.758000000016</v>
      </c>
      <c r="P24" s="88"/>
      <c r="Q24" s="88">
        <f>O24+'Income Statem_2008'!Q46</f>
        <v>-1800.957428571448</v>
      </c>
      <c r="R24" s="88"/>
      <c r="S24" s="88">
        <f>Q24+'Income Statem_2008'!S46</f>
        <v>7436.8431428571203</v>
      </c>
      <c r="T24" s="88"/>
      <c r="U24" s="88">
        <f>S24+'Income Statem_2008'!U46</f>
        <v>19366.939714285698</v>
      </c>
      <c r="V24" s="88"/>
      <c r="W24" s="88">
        <f>U24+'Income Statem_2008'!W46</f>
        <v>31297.036285714275</v>
      </c>
      <c r="X24" s="88"/>
      <c r="Y24" s="88">
        <f>W24+'Income Statem_2008'!Y46</f>
        <v>43227.132857142853</v>
      </c>
    </row>
    <row r="25" spans="2:25" x14ac:dyDescent="0.35">
      <c r="C25" s="88"/>
    </row>
    <row r="26" spans="2:25" x14ac:dyDescent="0.35">
      <c r="B26" s="9" t="str">
        <f>CONCATENATE("    ","Long-term Liabilities")</f>
        <v xml:space="preserve">    Long-term Liabilities</v>
      </c>
      <c r="C26" s="88"/>
    </row>
    <row r="27" spans="2:25" x14ac:dyDescent="0.35">
      <c r="B27" s="9" t="str">
        <f>CONCATENATE("        ","Bank Loans Payable")</f>
        <v xml:space="preserve">        Bank Loans Payable</v>
      </c>
      <c r="C27" s="88">
        <f>'Income Statem_2008'!AE41</f>
        <v>200000</v>
      </c>
      <c r="D27" s="88"/>
      <c r="E27" s="88">
        <f>C27</f>
        <v>200000</v>
      </c>
      <c r="F27" s="88"/>
      <c r="G27" s="88">
        <f>E27</f>
        <v>200000</v>
      </c>
      <c r="H27" s="88"/>
      <c r="I27" s="88">
        <f>G27</f>
        <v>200000</v>
      </c>
      <c r="J27" s="88"/>
      <c r="K27" s="88">
        <f>I27</f>
        <v>200000</v>
      </c>
      <c r="L27" s="88"/>
      <c r="M27" s="88">
        <f>K27</f>
        <v>200000</v>
      </c>
      <c r="N27" s="88"/>
      <c r="O27" s="88">
        <f>M27</f>
        <v>200000</v>
      </c>
      <c r="P27" s="88"/>
      <c r="Q27" s="88">
        <f>O27</f>
        <v>200000</v>
      </c>
      <c r="R27" s="88"/>
      <c r="S27" s="88">
        <f>Q27</f>
        <v>200000</v>
      </c>
      <c r="T27" s="88"/>
      <c r="U27" s="88">
        <f>S27</f>
        <v>200000</v>
      </c>
      <c r="V27" s="88"/>
      <c r="W27" s="88">
        <f>U27</f>
        <v>200000</v>
      </c>
      <c r="X27" s="88"/>
      <c r="Y27" s="88">
        <f>W27+'Cash Flow_2008'!AA28</f>
        <v>0</v>
      </c>
    </row>
    <row r="28" spans="2:25" x14ac:dyDescent="0.35">
      <c r="C28" s="88"/>
    </row>
    <row r="29" spans="2:25" x14ac:dyDescent="0.35">
      <c r="B29" s="9" t="str">
        <f>CONCATENATE("    ","Stockholders' Equity")</f>
        <v xml:space="preserve">    Stockholders' Equity</v>
      </c>
    </row>
    <row r="30" spans="2:25" x14ac:dyDescent="0.35">
      <c r="B30" s="9" t="str">
        <f>CONCATENATE("        ","Stock")</f>
        <v xml:space="preserve">        Stock</v>
      </c>
      <c r="C30" s="88">
        <f>'Balance Sheet_2007'!Y30+'Balance Sheet_2007'!Y31</f>
        <v>192204.89400000012</v>
      </c>
      <c r="E30" s="88">
        <f>C30+C31</f>
        <v>207477.73800000013</v>
      </c>
      <c r="F30" s="88"/>
      <c r="G30" s="88">
        <f>E30+E31</f>
        <v>222750.58200000011</v>
      </c>
      <c r="H30" s="88"/>
      <c r="I30" s="88">
        <f>G30+G31</f>
        <v>238023.42600000009</v>
      </c>
      <c r="J30" s="88"/>
      <c r="K30" s="88">
        <f>I30+I31</f>
        <v>259578.29400000008</v>
      </c>
      <c r="L30" s="88"/>
      <c r="M30" s="88">
        <f>K30+K31</f>
        <v>281133.16200000007</v>
      </c>
      <c r="N30" s="88"/>
      <c r="O30" s="88">
        <f>M30+M31</f>
        <v>302688.03000000009</v>
      </c>
      <c r="P30" s="88"/>
      <c r="Q30" s="88">
        <f>O30+O31</f>
        <v>324242.8980000001</v>
      </c>
      <c r="R30" s="88"/>
      <c r="S30" s="88">
        <f>Q30+Q31</f>
        <v>345797.76600000012</v>
      </c>
      <c r="T30" s="88"/>
      <c r="U30" s="88">
        <f>S30+S31</f>
        <v>367352.63400000014</v>
      </c>
      <c r="V30" s="88"/>
      <c r="W30" s="88">
        <f>U30+U31</f>
        <v>395189.52600000013</v>
      </c>
      <c r="X30" s="88"/>
      <c r="Y30" s="88">
        <f>W30+W31</f>
        <v>423026.41800000012</v>
      </c>
    </row>
    <row r="31" spans="2:25" x14ac:dyDescent="0.35">
      <c r="B31" s="9" t="str">
        <f>CONCATENATE("        ","Retained Earnings")</f>
        <v xml:space="preserve">        Retained Earnings</v>
      </c>
      <c r="C31" s="88">
        <f>'Income Statem_2008'!C48</f>
        <v>15272.843999999997</v>
      </c>
      <c r="D31" s="88"/>
      <c r="E31" s="88">
        <f>'Income Statem_2008'!E48</f>
        <v>15272.843999999997</v>
      </c>
      <c r="F31" s="88"/>
      <c r="G31" s="88">
        <f>'Income Statem_2008'!G48</f>
        <v>15272.843999999997</v>
      </c>
      <c r="H31" s="88"/>
      <c r="I31" s="88">
        <f>'Income Statem_2008'!I48</f>
        <v>21554.867999999991</v>
      </c>
      <c r="J31" s="88"/>
      <c r="K31" s="88">
        <f>'Income Statem_2008'!K48</f>
        <v>21554.867999999991</v>
      </c>
      <c r="L31" s="88"/>
      <c r="M31" s="88">
        <f>'Income Statem_2008'!M48</f>
        <v>21554.867999999991</v>
      </c>
      <c r="N31" s="88"/>
      <c r="O31" s="88">
        <f>'Income Statem_2008'!O48</f>
        <v>21554.867999999991</v>
      </c>
      <c r="P31" s="88"/>
      <c r="Q31" s="88">
        <f>'Income Statem_2008'!Q48</f>
        <v>21554.867999999991</v>
      </c>
      <c r="R31" s="88"/>
      <c r="S31" s="88">
        <f>'Income Statem_2008'!S48</f>
        <v>21554.867999999991</v>
      </c>
      <c r="T31" s="88"/>
      <c r="U31" s="88">
        <f>'Income Statem_2008'!U48</f>
        <v>27836.892000000007</v>
      </c>
      <c r="V31" s="88"/>
      <c r="W31" s="88">
        <f>'Income Statem_2008'!W48</f>
        <v>27836.892000000007</v>
      </c>
      <c r="X31" s="88"/>
      <c r="Y31" s="88">
        <f>'Income Statem_2008'!Y48</f>
        <v>27836.892000000007</v>
      </c>
    </row>
    <row r="32" spans="2:25" x14ac:dyDescent="0.35">
      <c r="C32" s="88"/>
    </row>
    <row r="33" spans="2:25" ht="13.9" x14ac:dyDescent="0.5">
      <c r="B33" s="34" t="s">
        <v>98</v>
      </c>
      <c r="C33" s="89">
        <f>C23+C24+C27+C30+C31</f>
        <v>348063.43523809535</v>
      </c>
      <c r="D33" s="89"/>
      <c r="E33" s="89">
        <f>E23+E24+E27+E30+E31</f>
        <v>371548.4504761906</v>
      </c>
      <c r="F33" s="89"/>
      <c r="G33" s="89">
        <f>G23+G24+G27+G30+G31</f>
        <v>395033.46571428579</v>
      </c>
      <c r="H33" s="89"/>
      <c r="I33" s="89">
        <f>I23+I24+I27+I30+I31</f>
        <v>427492.80095238105</v>
      </c>
      <c r="J33" s="89"/>
      <c r="K33" s="89">
        <f>K23+K24+K27+K30+K31</f>
        <v>459952.13619047625</v>
      </c>
      <c r="L33" s="89"/>
      <c r="M33" s="89">
        <f>M23+M24+M27+M30+M31</f>
        <v>492411.4714285715</v>
      </c>
      <c r="N33" s="89"/>
      <c r="O33" s="89">
        <f>O23+O24+O27+O30+O31</f>
        <v>524870.80666666676</v>
      </c>
      <c r="P33" s="89"/>
      <c r="Q33" s="89">
        <f>Q23+Q24+Q27+Q30+Q31</f>
        <v>557330.14190476201</v>
      </c>
      <c r="R33" s="89"/>
      <c r="S33" s="89">
        <f>S23+S24+S27+S30+S31</f>
        <v>589789.47714285727</v>
      </c>
      <c r="T33" s="89"/>
      <c r="U33" s="89">
        <f>U23+U24+U27+U30+U31</f>
        <v>631223.13238095248</v>
      </c>
      <c r="V33" s="89"/>
      <c r="W33" s="89">
        <f>W23+W24+W27+W30+W31</f>
        <v>672656.7876190478</v>
      </c>
      <c r="X33" s="89"/>
      <c r="Y33" s="89">
        <f>Y23+Y24+Y27+Y30+Y31</f>
        <v>494090.44285714295</v>
      </c>
    </row>
    <row r="34" spans="2:25" x14ac:dyDescent="0.35">
      <c r="C34" s="88"/>
    </row>
    <row r="35" spans="2:25" x14ac:dyDescent="0.35">
      <c r="C35" s="88"/>
      <c r="D35" s="88"/>
      <c r="E35" s="88"/>
    </row>
    <row r="39" spans="2:25" x14ac:dyDescent="0.35">
      <c r="D39" s="88"/>
    </row>
    <row r="43" spans="2:25" x14ac:dyDescent="0.35">
      <c r="D43" s="88"/>
    </row>
  </sheetData>
  <sheetProtection password="DEE9" sheet="1" objects="1" scenarios="1" selectLockedCells="1"/>
  <phoneticPr fontId="3" type="noConversion"/>
  <pageMargins left="0.75" right="0.75" top="1" bottom="1" header="0.5" footer="0.5"/>
  <pageSetup paperSize="260" orientation="landscape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5 Year Plan</vt:lpstr>
      <vt:lpstr>Sales Projections_UandC</vt:lpstr>
      <vt:lpstr>Sales Projections_Dist</vt:lpstr>
      <vt:lpstr>Sales Projections_SS</vt:lpstr>
      <vt:lpstr>Sales Projections_Total</vt:lpstr>
      <vt:lpstr>Income Statem_2006</vt:lpstr>
      <vt:lpstr>Income Statem_2007</vt:lpstr>
      <vt:lpstr>Income Statem_2008</vt:lpstr>
      <vt:lpstr>Cash Flow_2006</vt:lpstr>
      <vt:lpstr>Cash Flow_2007</vt:lpstr>
      <vt:lpstr>Cash Flow_2008</vt:lpstr>
      <vt:lpstr>Balance Sheet_2006</vt:lpstr>
      <vt:lpstr>Balance Sheet_2007</vt:lpstr>
      <vt:lpstr>Balance Sheet_2008</vt:lpstr>
      <vt:lpstr>'5 Year Plan'!Print_Area</vt:lpstr>
    </vt:vector>
  </TitlesOfParts>
  <Company>King's College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FB</dc:creator>
  <cp:lastModifiedBy>Felix Zumstein</cp:lastModifiedBy>
  <dcterms:created xsi:type="dcterms:W3CDTF">2006-01-25T20:48:11Z</dcterms:created>
  <dcterms:modified xsi:type="dcterms:W3CDTF">2017-11-05T09:33:13Z</dcterms:modified>
</cp:coreProperties>
</file>